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bjl8\OneDrive\Escritorio\c#\ProyectoIntegrador\"/>
    </mc:Choice>
  </mc:AlternateContent>
  <xr:revisionPtr revIDLastSave="0" documentId="13_ncr:1_{79C285C8-277D-42DE-B9DA-08EE677B163F}" xr6:coauthVersionLast="47" xr6:coauthVersionMax="47" xr10:uidLastSave="{00000000-0000-0000-0000-000000000000}"/>
  <bookViews>
    <workbookView xWindow="-110" yWindow="-110" windowWidth="19420" windowHeight="10300" xr2:uid="{68E3ABBE-551F-42E9-A2D4-74F9B47131F6}"/>
  </bookViews>
  <sheets>
    <sheet name="Modelado" sheetId="1" r:id="rId1"/>
    <sheet name="Ejemplo" sheetId="2" r:id="rId2"/>
    <sheet name="Bitacora" sheetId="4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5" i="2" l="1"/>
  <c r="F24" i="2"/>
  <c r="F23" i="2"/>
  <c r="F22" i="2"/>
  <c r="F21" i="2"/>
  <c r="F20" i="2"/>
  <c r="F19" i="2"/>
  <c r="F18" i="2"/>
  <c r="F17" i="2"/>
  <c r="F16" i="2"/>
  <c r="F15" i="2"/>
  <c r="F13" i="2"/>
  <c r="E25" i="2"/>
  <c r="E24" i="2"/>
  <c r="E23" i="2"/>
  <c r="E22" i="2"/>
  <c r="E21" i="2"/>
  <c r="E20" i="2"/>
  <c r="E19" i="2"/>
  <c r="E18" i="2"/>
  <c r="E17" i="2"/>
  <c r="E16" i="2"/>
  <c r="E15" i="2"/>
  <c r="E14" i="2"/>
  <c r="F14" i="2" s="1"/>
  <c r="E13" i="2"/>
  <c r="E12" i="2"/>
  <c r="F12" i="2" s="1"/>
  <c r="C12" i="2"/>
  <c r="F32" i="1"/>
  <c r="F31" i="1"/>
  <c r="F30" i="1"/>
  <c r="F6" i="2" l="1"/>
</calcChain>
</file>

<file path=xl/sharedStrings.xml><?xml version="1.0" encoding="utf-8"?>
<sst xmlns="http://schemas.openxmlformats.org/spreadsheetml/2006/main" count="90" uniqueCount="64">
  <si>
    <t>Producto</t>
  </si>
  <si>
    <t>Solicitud de compra</t>
  </si>
  <si>
    <t>1:N</t>
  </si>
  <si>
    <t>Id</t>
  </si>
  <si>
    <t>Código</t>
  </si>
  <si>
    <t>Descripción</t>
  </si>
  <si>
    <t>Precio</t>
  </si>
  <si>
    <t>Precio de referencia</t>
  </si>
  <si>
    <t>Activo</t>
  </si>
  <si>
    <t>Folio</t>
  </si>
  <si>
    <t>Solicitante</t>
  </si>
  <si>
    <t>Fecha</t>
  </si>
  <si>
    <t>Estado</t>
  </si>
  <si>
    <t>Observaciones</t>
  </si>
  <si>
    <t>Total</t>
  </si>
  <si>
    <t>SolicituCompraDetalle</t>
  </si>
  <si>
    <t>Solicitud</t>
  </si>
  <si>
    <t>Cantidad</t>
  </si>
  <si>
    <t>Subtotal</t>
  </si>
  <si>
    <t>Colaborador</t>
  </si>
  <si>
    <t>IdColaborador</t>
  </si>
  <si>
    <t>Nombre</t>
  </si>
  <si>
    <t>ApellidoPaterno</t>
  </si>
  <si>
    <t>ApellidoMaterno</t>
  </si>
  <si>
    <t>1 : 1</t>
  </si>
  <si>
    <t>José</t>
  </si>
  <si>
    <t>Productos</t>
  </si>
  <si>
    <t>Zapatos</t>
  </si>
  <si>
    <t>Tenis</t>
  </si>
  <si>
    <t>Sandalias</t>
  </si>
  <si>
    <t>Borrador</t>
  </si>
  <si>
    <t>Espera de autorización</t>
  </si>
  <si>
    <t>SolicutudCompraDetalle</t>
  </si>
  <si>
    <t>Enviada</t>
  </si>
  <si>
    <t>Entrega Inmediata</t>
  </si>
  <si>
    <t>1 : N</t>
  </si>
  <si>
    <t xml:space="preserve">Ejemplo de modelado de base de datos. </t>
  </si>
  <si>
    <t>Ejemplo de proceso de una solicitud</t>
  </si>
  <si>
    <t>Guardar</t>
  </si>
  <si>
    <t>Enviar</t>
  </si>
  <si>
    <t>cancelar</t>
  </si>
  <si>
    <t>Diagrama de estado.</t>
  </si>
  <si>
    <t>Observaciónes</t>
  </si>
  <si>
    <t xml:space="preserve">  </t>
  </si>
  <si>
    <t xml:space="preserve"> </t>
  </si>
  <si>
    <t>SolicitudCompraDetalle</t>
  </si>
  <si>
    <t>CodigoProducto</t>
  </si>
  <si>
    <t>PrecioReferencia</t>
  </si>
  <si>
    <t>José R.</t>
  </si>
  <si>
    <t>En espera de autorización</t>
  </si>
  <si>
    <t>Zandalias</t>
  </si>
  <si>
    <t>Editar</t>
  </si>
  <si>
    <t>Desiciones.</t>
  </si>
  <si>
    <t>Problemas</t>
  </si>
  <si>
    <t>Fuentes</t>
  </si>
  <si>
    <t>Herramientas Utilizadas</t>
  </si>
  <si>
    <t>Pendientes</t>
  </si>
  <si>
    <t>Eliminación lógica para mantener el historial de registros de solicitudes como productos que se solicitaron.</t>
  </si>
  <si>
    <t>Antoni</t>
  </si>
  <si>
    <t>Al enviar la solicitud, se debe cambiar el estado a "Enviado" y no permitir modificar la solicitud.</t>
  </si>
  <si>
    <t>Al cancelar la solicitud, se debe cambiarl es estado a "Cancelado" y no permitir modificar la solicitud</t>
  </si>
  <si>
    <t>Al crear la solicitud, va a nacer con el estado "Borrador", validar que el detalle tenga algún producto para que permita guardar</t>
  </si>
  <si>
    <t>Cancelar</t>
  </si>
  <si>
    <t xml:space="preserve">CodigoSolicitud =1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</si>
</sst>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0" fillId="0" borderId="0" xfId="0" quotePrefix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20" fontId="0" fillId="0" borderId="0" xfId="0" applyNumberFormat="1"/>
    <xf numFmtId="49" fontId="0" fillId="0" borderId="0" xfId="0" applyNumberFormat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7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7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5" fontId="0" fillId="0" borderId="1" xfId="0" applyNumberFormat="1" applyBorder="1"/>
    <xf numFmtId="0" fontId="0" fillId="0" borderId="16" xfId="0" applyBorder="1"/>
    <xf numFmtId="0" fontId="0" fillId="0" borderId="17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1" fillId="2" borderId="13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23" xfId="0" applyFont="1" applyFill="1" applyBorder="1" applyAlignment="1">
      <alignment horizontal="center" vertical="center"/>
    </xf>
    <xf numFmtId="0" fontId="1" fillId="2" borderId="24" xfId="0" applyFont="1" applyFill="1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3" borderId="20" xfId="0" applyFill="1" applyBorder="1" applyAlignment="1">
      <alignment horizontal="center"/>
    </xf>
    <xf numFmtId="0" fontId="0" fillId="3" borderId="11" xfId="0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2" fillId="2" borderId="13" xfId="0" applyFont="1" applyFill="1" applyBorder="1" applyAlignment="1">
      <alignment horizontal="center" vertical="center"/>
    </xf>
    <xf numFmtId="0" fontId="2" fillId="2" borderId="14" xfId="0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0" fillId="3" borderId="18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57150</xdr:colOff>
      <xdr:row>11</xdr:row>
      <xdr:rowOff>57150</xdr:rowOff>
    </xdr:from>
    <xdr:to>
      <xdr:col>1</xdr:col>
      <xdr:colOff>200025</xdr:colOff>
      <xdr:row>11</xdr:row>
      <xdr:rowOff>142875</xdr:rowOff>
    </xdr:to>
    <xdr:sp macro="" textlink="">
      <xdr:nvSpPr>
        <xdr:cNvPr id="2" name="Elipse 1">
          <a:extLst>
            <a:ext uri="{FF2B5EF4-FFF2-40B4-BE49-F238E27FC236}">
              <a16:creationId xmlns:a16="http://schemas.microsoft.com/office/drawing/2014/main" id="{D7E60004-9A5B-A403-04B7-604DCE69AEA8}"/>
            </a:ext>
          </a:extLst>
        </xdr:cNvPr>
        <xdr:cNvSpPr/>
      </xdr:nvSpPr>
      <xdr:spPr>
        <a:xfrm>
          <a:off x="819150" y="819150"/>
          <a:ext cx="142875" cy="85725"/>
        </a:xfrm>
        <a:prstGeom prst="ellipse">
          <a:avLst/>
        </a:prstGeom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1</xdr:col>
      <xdr:colOff>66675</xdr:colOff>
      <xdr:row>13</xdr:row>
      <xdr:rowOff>57150</xdr:rowOff>
    </xdr:from>
    <xdr:to>
      <xdr:col>1</xdr:col>
      <xdr:colOff>209550</xdr:colOff>
      <xdr:row>13</xdr:row>
      <xdr:rowOff>142875</xdr:rowOff>
    </xdr:to>
    <xdr:sp macro="" textlink="">
      <xdr:nvSpPr>
        <xdr:cNvPr id="3" name="Elipse 2">
          <a:extLst>
            <a:ext uri="{FF2B5EF4-FFF2-40B4-BE49-F238E27FC236}">
              <a16:creationId xmlns:a16="http://schemas.microsoft.com/office/drawing/2014/main" id="{FA4EF9BF-C229-41FC-9271-C1661B29B442}"/>
            </a:ext>
          </a:extLst>
        </xdr:cNvPr>
        <xdr:cNvSpPr/>
      </xdr:nvSpPr>
      <xdr:spPr>
        <a:xfrm>
          <a:off x="828675" y="1200150"/>
          <a:ext cx="142875" cy="85725"/>
        </a:xfrm>
        <a:prstGeom prst="ellips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algn="l"/>
          <a:endParaRPr lang="es-MX" sz="11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</xdr:col>
      <xdr:colOff>66675</xdr:colOff>
      <xdr:row>14</xdr:row>
      <xdr:rowOff>57150</xdr:rowOff>
    </xdr:from>
    <xdr:to>
      <xdr:col>1</xdr:col>
      <xdr:colOff>209550</xdr:colOff>
      <xdr:row>14</xdr:row>
      <xdr:rowOff>142875</xdr:rowOff>
    </xdr:to>
    <xdr:sp macro="" textlink="">
      <xdr:nvSpPr>
        <xdr:cNvPr id="5" name="Elipse 4">
          <a:extLst>
            <a:ext uri="{FF2B5EF4-FFF2-40B4-BE49-F238E27FC236}">
              <a16:creationId xmlns:a16="http://schemas.microsoft.com/office/drawing/2014/main" id="{E85810B5-6ADD-4244-BF2D-A3467636CF01}"/>
            </a:ext>
          </a:extLst>
        </xdr:cNvPr>
        <xdr:cNvSpPr/>
      </xdr:nvSpPr>
      <xdr:spPr>
        <a:xfrm>
          <a:off x="828675" y="1390650"/>
          <a:ext cx="142875" cy="85725"/>
        </a:xfrm>
        <a:prstGeom prst="ellipse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1</xdr:col>
      <xdr:colOff>66675</xdr:colOff>
      <xdr:row>15</xdr:row>
      <xdr:rowOff>57150</xdr:rowOff>
    </xdr:from>
    <xdr:to>
      <xdr:col>1</xdr:col>
      <xdr:colOff>209550</xdr:colOff>
      <xdr:row>15</xdr:row>
      <xdr:rowOff>142875</xdr:rowOff>
    </xdr:to>
    <xdr:sp macro="" textlink="">
      <xdr:nvSpPr>
        <xdr:cNvPr id="6" name="Elipse 5">
          <a:extLst>
            <a:ext uri="{FF2B5EF4-FFF2-40B4-BE49-F238E27FC236}">
              <a16:creationId xmlns:a16="http://schemas.microsoft.com/office/drawing/2014/main" id="{EE861096-AE11-41CE-8FF2-80ACEE408A14}"/>
            </a:ext>
          </a:extLst>
        </xdr:cNvPr>
        <xdr:cNvSpPr/>
      </xdr:nvSpPr>
      <xdr:spPr>
        <a:xfrm>
          <a:off x="828675" y="1581150"/>
          <a:ext cx="142875" cy="85725"/>
        </a:xfrm>
        <a:prstGeom prst="ellipse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1</xdr:col>
      <xdr:colOff>66675</xdr:colOff>
      <xdr:row>16</xdr:row>
      <xdr:rowOff>57150</xdr:rowOff>
    </xdr:from>
    <xdr:to>
      <xdr:col>1</xdr:col>
      <xdr:colOff>209550</xdr:colOff>
      <xdr:row>16</xdr:row>
      <xdr:rowOff>142875</xdr:rowOff>
    </xdr:to>
    <xdr:sp macro="" textlink="">
      <xdr:nvSpPr>
        <xdr:cNvPr id="7" name="Elipse 6">
          <a:extLst>
            <a:ext uri="{FF2B5EF4-FFF2-40B4-BE49-F238E27FC236}">
              <a16:creationId xmlns:a16="http://schemas.microsoft.com/office/drawing/2014/main" id="{8FB3B9B8-F97D-4A02-976B-1C033AD7CFCB}"/>
            </a:ext>
          </a:extLst>
        </xdr:cNvPr>
        <xdr:cNvSpPr/>
      </xdr:nvSpPr>
      <xdr:spPr>
        <a:xfrm>
          <a:off x="828675" y="1771650"/>
          <a:ext cx="142875" cy="85725"/>
        </a:xfrm>
        <a:prstGeom prst="ellipse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1</xdr:col>
      <xdr:colOff>66675</xdr:colOff>
      <xdr:row>17</xdr:row>
      <xdr:rowOff>57150</xdr:rowOff>
    </xdr:from>
    <xdr:to>
      <xdr:col>1</xdr:col>
      <xdr:colOff>209550</xdr:colOff>
      <xdr:row>17</xdr:row>
      <xdr:rowOff>142875</xdr:rowOff>
    </xdr:to>
    <xdr:sp macro="" textlink="">
      <xdr:nvSpPr>
        <xdr:cNvPr id="8" name="Elipse 7">
          <a:extLst>
            <a:ext uri="{FF2B5EF4-FFF2-40B4-BE49-F238E27FC236}">
              <a16:creationId xmlns:a16="http://schemas.microsoft.com/office/drawing/2014/main" id="{6A3600B4-D984-4D38-B71E-E43F78D700C6}"/>
            </a:ext>
          </a:extLst>
        </xdr:cNvPr>
        <xdr:cNvSpPr/>
      </xdr:nvSpPr>
      <xdr:spPr>
        <a:xfrm>
          <a:off x="828675" y="1962150"/>
          <a:ext cx="142875" cy="85725"/>
        </a:xfrm>
        <a:prstGeom prst="ellipse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7</xdr:col>
      <xdr:colOff>66675</xdr:colOff>
      <xdr:row>11</xdr:row>
      <xdr:rowOff>66675</xdr:rowOff>
    </xdr:from>
    <xdr:to>
      <xdr:col>7</xdr:col>
      <xdr:colOff>209550</xdr:colOff>
      <xdr:row>11</xdr:row>
      <xdr:rowOff>152400</xdr:rowOff>
    </xdr:to>
    <xdr:sp macro="" textlink="">
      <xdr:nvSpPr>
        <xdr:cNvPr id="11" name="Elipse 10">
          <a:extLst>
            <a:ext uri="{FF2B5EF4-FFF2-40B4-BE49-F238E27FC236}">
              <a16:creationId xmlns:a16="http://schemas.microsoft.com/office/drawing/2014/main" id="{1ED3B9F1-3D19-48F5-B9BB-B20E95D806BA}"/>
            </a:ext>
          </a:extLst>
        </xdr:cNvPr>
        <xdr:cNvSpPr/>
      </xdr:nvSpPr>
      <xdr:spPr>
        <a:xfrm>
          <a:off x="5619750" y="828675"/>
          <a:ext cx="142875" cy="85725"/>
        </a:xfrm>
        <a:prstGeom prst="ellipse">
          <a:avLst/>
        </a:prstGeom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3</xdr:col>
      <xdr:colOff>66675</xdr:colOff>
      <xdr:row>12</xdr:row>
      <xdr:rowOff>66675</xdr:rowOff>
    </xdr:from>
    <xdr:to>
      <xdr:col>3</xdr:col>
      <xdr:colOff>209550</xdr:colOff>
      <xdr:row>12</xdr:row>
      <xdr:rowOff>152400</xdr:rowOff>
    </xdr:to>
    <xdr:sp macro="" textlink="">
      <xdr:nvSpPr>
        <xdr:cNvPr id="12" name="Elipse 11">
          <a:extLst>
            <a:ext uri="{FF2B5EF4-FFF2-40B4-BE49-F238E27FC236}">
              <a16:creationId xmlns:a16="http://schemas.microsoft.com/office/drawing/2014/main" id="{0FA1999E-B474-4F50-B532-5FD51632DF13}"/>
            </a:ext>
          </a:extLst>
        </xdr:cNvPr>
        <xdr:cNvSpPr/>
      </xdr:nvSpPr>
      <xdr:spPr>
        <a:xfrm>
          <a:off x="2962275" y="1019175"/>
          <a:ext cx="142875" cy="85725"/>
        </a:xfrm>
        <a:prstGeom prst="ellipse">
          <a:avLst/>
        </a:prstGeom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3</xdr:col>
      <xdr:colOff>66675</xdr:colOff>
      <xdr:row>13</xdr:row>
      <xdr:rowOff>57150</xdr:rowOff>
    </xdr:from>
    <xdr:to>
      <xdr:col>3</xdr:col>
      <xdr:colOff>209550</xdr:colOff>
      <xdr:row>13</xdr:row>
      <xdr:rowOff>142875</xdr:rowOff>
    </xdr:to>
    <xdr:sp macro="" textlink="">
      <xdr:nvSpPr>
        <xdr:cNvPr id="13" name="Elipse 12">
          <a:extLst>
            <a:ext uri="{FF2B5EF4-FFF2-40B4-BE49-F238E27FC236}">
              <a16:creationId xmlns:a16="http://schemas.microsoft.com/office/drawing/2014/main" id="{C03FF6D8-3FB3-4D68-9F1D-39224C43B0DA}"/>
            </a:ext>
          </a:extLst>
        </xdr:cNvPr>
        <xdr:cNvSpPr/>
      </xdr:nvSpPr>
      <xdr:spPr>
        <a:xfrm>
          <a:off x="2962275" y="1200150"/>
          <a:ext cx="142875" cy="85725"/>
        </a:xfrm>
        <a:prstGeom prst="ellips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3</xdr:col>
      <xdr:colOff>76200</xdr:colOff>
      <xdr:row>14</xdr:row>
      <xdr:rowOff>57150</xdr:rowOff>
    </xdr:from>
    <xdr:to>
      <xdr:col>3</xdr:col>
      <xdr:colOff>219075</xdr:colOff>
      <xdr:row>14</xdr:row>
      <xdr:rowOff>142875</xdr:rowOff>
    </xdr:to>
    <xdr:sp macro="" textlink="">
      <xdr:nvSpPr>
        <xdr:cNvPr id="14" name="Elipse 13">
          <a:extLst>
            <a:ext uri="{FF2B5EF4-FFF2-40B4-BE49-F238E27FC236}">
              <a16:creationId xmlns:a16="http://schemas.microsoft.com/office/drawing/2014/main" id="{D2F6544B-7746-4802-BB6E-14A0D1074E02}"/>
            </a:ext>
          </a:extLst>
        </xdr:cNvPr>
        <xdr:cNvSpPr/>
      </xdr:nvSpPr>
      <xdr:spPr>
        <a:xfrm>
          <a:off x="2971800" y="1390650"/>
          <a:ext cx="142875" cy="85725"/>
        </a:xfrm>
        <a:prstGeom prst="ellipse">
          <a:avLst/>
        </a:prstGeom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3</xdr:col>
      <xdr:colOff>76200</xdr:colOff>
      <xdr:row>15</xdr:row>
      <xdr:rowOff>47625</xdr:rowOff>
    </xdr:from>
    <xdr:to>
      <xdr:col>3</xdr:col>
      <xdr:colOff>219075</xdr:colOff>
      <xdr:row>15</xdr:row>
      <xdr:rowOff>133350</xdr:rowOff>
    </xdr:to>
    <xdr:sp macro="" textlink="">
      <xdr:nvSpPr>
        <xdr:cNvPr id="15" name="Elipse 14">
          <a:extLst>
            <a:ext uri="{FF2B5EF4-FFF2-40B4-BE49-F238E27FC236}">
              <a16:creationId xmlns:a16="http://schemas.microsoft.com/office/drawing/2014/main" id="{0F4C8A30-B3E2-475D-B0F7-4874E77822D5}"/>
            </a:ext>
          </a:extLst>
        </xdr:cNvPr>
        <xdr:cNvSpPr/>
      </xdr:nvSpPr>
      <xdr:spPr>
        <a:xfrm>
          <a:off x="2971800" y="1571625"/>
          <a:ext cx="142875" cy="85725"/>
        </a:xfrm>
        <a:prstGeom prst="ellipse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3</xdr:col>
      <xdr:colOff>66675</xdr:colOff>
      <xdr:row>16</xdr:row>
      <xdr:rowOff>57150</xdr:rowOff>
    </xdr:from>
    <xdr:to>
      <xdr:col>3</xdr:col>
      <xdr:colOff>209550</xdr:colOff>
      <xdr:row>16</xdr:row>
      <xdr:rowOff>142875</xdr:rowOff>
    </xdr:to>
    <xdr:sp macro="" textlink="">
      <xdr:nvSpPr>
        <xdr:cNvPr id="16" name="Elipse 15">
          <a:extLst>
            <a:ext uri="{FF2B5EF4-FFF2-40B4-BE49-F238E27FC236}">
              <a16:creationId xmlns:a16="http://schemas.microsoft.com/office/drawing/2014/main" id="{CF6FFACF-55E4-40AF-A8B9-21AB552A24B6}"/>
            </a:ext>
          </a:extLst>
        </xdr:cNvPr>
        <xdr:cNvSpPr/>
      </xdr:nvSpPr>
      <xdr:spPr>
        <a:xfrm>
          <a:off x="2962275" y="1771650"/>
          <a:ext cx="142875" cy="85725"/>
        </a:xfrm>
        <a:prstGeom prst="ellipse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3</xdr:col>
      <xdr:colOff>76200</xdr:colOff>
      <xdr:row>17</xdr:row>
      <xdr:rowOff>57150</xdr:rowOff>
    </xdr:from>
    <xdr:to>
      <xdr:col>3</xdr:col>
      <xdr:colOff>219075</xdr:colOff>
      <xdr:row>17</xdr:row>
      <xdr:rowOff>142875</xdr:rowOff>
    </xdr:to>
    <xdr:sp macro="" textlink="">
      <xdr:nvSpPr>
        <xdr:cNvPr id="17" name="Elipse 16">
          <a:extLst>
            <a:ext uri="{FF2B5EF4-FFF2-40B4-BE49-F238E27FC236}">
              <a16:creationId xmlns:a16="http://schemas.microsoft.com/office/drawing/2014/main" id="{89725C3A-DBBD-4E0E-9C3E-80B273EACB47}"/>
            </a:ext>
          </a:extLst>
        </xdr:cNvPr>
        <xdr:cNvSpPr/>
      </xdr:nvSpPr>
      <xdr:spPr>
        <a:xfrm>
          <a:off x="2971800" y="1962150"/>
          <a:ext cx="142875" cy="85725"/>
        </a:xfrm>
        <a:prstGeom prst="ellipse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7</xdr:col>
      <xdr:colOff>76200</xdr:colOff>
      <xdr:row>13</xdr:row>
      <xdr:rowOff>57150</xdr:rowOff>
    </xdr:from>
    <xdr:to>
      <xdr:col>7</xdr:col>
      <xdr:colOff>219075</xdr:colOff>
      <xdr:row>13</xdr:row>
      <xdr:rowOff>142875</xdr:rowOff>
    </xdr:to>
    <xdr:sp macro="" textlink="">
      <xdr:nvSpPr>
        <xdr:cNvPr id="19" name="Elipse 18">
          <a:extLst>
            <a:ext uri="{FF2B5EF4-FFF2-40B4-BE49-F238E27FC236}">
              <a16:creationId xmlns:a16="http://schemas.microsoft.com/office/drawing/2014/main" id="{8F1C871F-8652-4593-8AEC-2BD0981265D3}"/>
            </a:ext>
          </a:extLst>
        </xdr:cNvPr>
        <xdr:cNvSpPr/>
      </xdr:nvSpPr>
      <xdr:spPr>
        <a:xfrm>
          <a:off x="5629275" y="1200150"/>
          <a:ext cx="142875" cy="85725"/>
        </a:xfrm>
        <a:prstGeom prst="ellipse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7</xdr:col>
      <xdr:colOff>76200</xdr:colOff>
      <xdr:row>14</xdr:row>
      <xdr:rowOff>66675</xdr:rowOff>
    </xdr:from>
    <xdr:to>
      <xdr:col>7</xdr:col>
      <xdr:colOff>219075</xdr:colOff>
      <xdr:row>14</xdr:row>
      <xdr:rowOff>152400</xdr:rowOff>
    </xdr:to>
    <xdr:sp macro="" textlink="">
      <xdr:nvSpPr>
        <xdr:cNvPr id="20" name="Elipse 19">
          <a:extLst>
            <a:ext uri="{FF2B5EF4-FFF2-40B4-BE49-F238E27FC236}">
              <a16:creationId xmlns:a16="http://schemas.microsoft.com/office/drawing/2014/main" id="{DF4ECE58-722A-47D2-B07A-65B9601EFBFC}"/>
            </a:ext>
          </a:extLst>
        </xdr:cNvPr>
        <xdr:cNvSpPr/>
      </xdr:nvSpPr>
      <xdr:spPr>
        <a:xfrm>
          <a:off x="5629275" y="1400175"/>
          <a:ext cx="142875" cy="85725"/>
        </a:xfrm>
        <a:prstGeom prst="ellipse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7</xdr:col>
      <xdr:colOff>76200</xdr:colOff>
      <xdr:row>15</xdr:row>
      <xdr:rowOff>66675</xdr:rowOff>
    </xdr:from>
    <xdr:to>
      <xdr:col>7</xdr:col>
      <xdr:colOff>219075</xdr:colOff>
      <xdr:row>15</xdr:row>
      <xdr:rowOff>152400</xdr:rowOff>
    </xdr:to>
    <xdr:sp macro="" textlink="">
      <xdr:nvSpPr>
        <xdr:cNvPr id="21" name="Elipse 20">
          <a:extLst>
            <a:ext uri="{FF2B5EF4-FFF2-40B4-BE49-F238E27FC236}">
              <a16:creationId xmlns:a16="http://schemas.microsoft.com/office/drawing/2014/main" id="{474DC344-C49E-4E04-A72C-69B3FE1141EC}"/>
            </a:ext>
          </a:extLst>
        </xdr:cNvPr>
        <xdr:cNvSpPr/>
      </xdr:nvSpPr>
      <xdr:spPr>
        <a:xfrm>
          <a:off x="5629275" y="1590675"/>
          <a:ext cx="142875" cy="85725"/>
        </a:xfrm>
        <a:prstGeom prst="ellipse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7</xdr:col>
      <xdr:colOff>76200</xdr:colOff>
      <xdr:row>12</xdr:row>
      <xdr:rowOff>57150</xdr:rowOff>
    </xdr:from>
    <xdr:to>
      <xdr:col>7</xdr:col>
      <xdr:colOff>219075</xdr:colOff>
      <xdr:row>12</xdr:row>
      <xdr:rowOff>142875</xdr:rowOff>
    </xdr:to>
    <xdr:sp macro="" textlink="">
      <xdr:nvSpPr>
        <xdr:cNvPr id="22" name="Elipse 21">
          <a:extLst>
            <a:ext uri="{FF2B5EF4-FFF2-40B4-BE49-F238E27FC236}">
              <a16:creationId xmlns:a16="http://schemas.microsoft.com/office/drawing/2014/main" id="{5AAC1D6A-8E5E-47F8-BDB1-3C17BF086A6C}"/>
            </a:ext>
          </a:extLst>
        </xdr:cNvPr>
        <xdr:cNvSpPr/>
      </xdr:nvSpPr>
      <xdr:spPr>
        <a:xfrm>
          <a:off x="5629275" y="1009650"/>
          <a:ext cx="142875" cy="85725"/>
        </a:xfrm>
        <a:prstGeom prst="ellipse">
          <a:avLst/>
        </a:prstGeom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1</xdr:col>
      <xdr:colOff>66675</xdr:colOff>
      <xdr:row>12</xdr:row>
      <xdr:rowOff>66675</xdr:rowOff>
    </xdr:from>
    <xdr:to>
      <xdr:col>1</xdr:col>
      <xdr:colOff>209550</xdr:colOff>
      <xdr:row>12</xdr:row>
      <xdr:rowOff>152400</xdr:rowOff>
    </xdr:to>
    <xdr:sp macro="" textlink="">
      <xdr:nvSpPr>
        <xdr:cNvPr id="23" name="Elipse 22">
          <a:extLst>
            <a:ext uri="{FF2B5EF4-FFF2-40B4-BE49-F238E27FC236}">
              <a16:creationId xmlns:a16="http://schemas.microsoft.com/office/drawing/2014/main" id="{98184E41-9248-4DDA-BB5B-0D3776607304}"/>
            </a:ext>
          </a:extLst>
        </xdr:cNvPr>
        <xdr:cNvSpPr/>
      </xdr:nvSpPr>
      <xdr:spPr>
        <a:xfrm>
          <a:off x="828675" y="1019175"/>
          <a:ext cx="142875" cy="85725"/>
        </a:xfrm>
        <a:prstGeom prst="ellipse">
          <a:avLst/>
        </a:prstGeom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1</xdr:col>
      <xdr:colOff>57150</xdr:colOff>
      <xdr:row>3</xdr:row>
      <xdr:rowOff>57150</xdr:rowOff>
    </xdr:from>
    <xdr:to>
      <xdr:col>1</xdr:col>
      <xdr:colOff>200025</xdr:colOff>
      <xdr:row>3</xdr:row>
      <xdr:rowOff>142875</xdr:rowOff>
    </xdr:to>
    <xdr:sp macro="" textlink="">
      <xdr:nvSpPr>
        <xdr:cNvPr id="31" name="Elipse 30">
          <a:extLst>
            <a:ext uri="{FF2B5EF4-FFF2-40B4-BE49-F238E27FC236}">
              <a16:creationId xmlns:a16="http://schemas.microsoft.com/office/drawing/2014/main" id="{8865746B-F3EF-4DCA-9F26-5BDB52575F9C}"/>
            </a:ext>
          </a:extLst>
        </xdr:cNvPr>
        <xdr:cNvSpPr/>
      </xdr:nvSpPr>
      <xdr:spPr>
        <a:xfrm>
          <a:off x="819150" y="3105150"/>
          <a:ext cx="142875" cy="85725"/>
        </a:xfrm>
        <a:prstGeom prst="ellipse">
          <a:avLst/>
        </a:prstGeom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1</xdr:col>
      <xdr:colOff>66675</xdr:colOff>
      <xdr:row>4</xdr:row>
      <xdr:rowOff>57150</xdr:rowOff>
    </xdr:from>
    <xdr:to>
      <xdr:col>1</xdr:col>
      <xdr:colOff>209550</xdr:colOff>
      <xdr:row>4</xdr:row>
      <xdr:rowOff>142875</xdr:rowOff>
    </xdr:to>
    <xdr:sp macro="" textlink="">
      <xdr:nvSpPr>
        <xdr:cNvPr id="32" name="Elipse 31">
          <a:extLst>
            <a:ext uri="{FF2B5EF4-FFF2-40B4-BE49-F238E27FC236}">
              <a16:creationId xmlns:a16="http://schemas.microsoft.com/office/drawing/2014/main" id="{74BC23F9-736B-449D-97B2-285D8BF23A68}"/>
            </a:ext>
          </a:extLst>
        </xdr:cNvPr>
        <xdr:cNvSpPr/>
      </xdr:nvSpPr>
      <xdr:spPr>
        <a:xfrm>
          <a:off x="828675" y="819150"/>
          <a:ext cx="142875" cy="85725"/>
        </a:xfrm>
        <a:prstGeom prst="ellipse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1</xdr:col>
      <xdr:colOff>66675</xdr:colOff>
      <xdr:row>6</xdr:row>
      <xdr:rowOff>57150</xdr:rowOff>
    </xdr:from>
    <xdr:to>
      <xdr:col>1</xdr:col>
      <xdr:colOff>209550</xdr:colOff>
      <xdr:row>6</xdr:row>
      <xdr:rowOff>142875</xdr:rowOff>
    </xdr:to>
    <xdr:sp macro="" textlink="">
      <xdr:nvSpPr>
        <xdr:cNvPr id="33" name="Elipse 32">
          <a:extLst>
            <a:ext uri="{FF2B5EF4-FFF2-40B4-BE49-F238E27FC236}">
              <a16:creationId xmlns:a16="http://schemas.microsoft.com/office/drawing/2014/main" id="{4E60F68E-4FF8-4B17-8899-2299EC21FDFF}"/>
            </a:ext>
          </a:extLst>
        </xdr:cNvPr>
        <xdr:cNvSpPr/>
      </xdr:nvSpPr>
      <xdr:spPr>
        <a:xfrm>
          <a:off x="828675" y="3676650"/>
          <a:ext cx="142875" cy="85725"/>
        </a:xfrm>
        <a:prstGeom prst="ellipse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1</xdr:col>
      <xdr:colOff>66675</xdr:colOff>
      <xdr:row>5</xdr:row>
      <xdr:rowOff>57150</xdr:rowOff>
    </xdr:from>
    <xdr:to>
      <xdr:col>1</xdr:col>
      <xdr:colOff>209550</xdr:colOff>
      <xdr:row>5</xdr:row>
      <xdr:rowOff>142875</xdr:rowOff>
    </xdr:to>
    <xdr:sp macro="" textlink="">
      <xdr:nvSpPr>
        <xdr:cNvPr id="38" name="Elipse 37">
          <a:extLst>
            <a:ext uri="{FF2B5EF4-FFF2-40B4-BE49-F238E27FC236}">
              <a16:creationId xmlns:a16="http://schemas.microsoft.com/office/drawing/2014/main" id="{1A357F78-8578-4417-B43F-77D9DB106595}"/>
            </a:ext>
          </a:extLst>
        </xdr:cNvPr>
        <xdr:cNvSpPr/>
      </xdr:nvSpPr>
      <xdr:spPr>
        <a:xfrm>
          <a:off x="828675" y="1009650"/>
          <a:ext cx="142875" cy="85725"/>
        </a:xfrm>
        <a:prstGeom prst="ellipse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390525</xdr:colOff>
      <xdr:row>13</xdr:row>
      <xdr:rowOff>114300</xdr:rowOff>
    </xdr:from>
    <xdr:to>
      <xdr:col>0</xdr:col>
      <xdr:colOff>714375</xdr:colOff>
      <xdr:row>13</xdr:row>
      <xdr:rowOff>114300</xdr:rowOff>
    </xdr:to>
    <xdr:cxnSp macro="">
      <xdr:nvCxnSpPr>
        <xdr:cNvPr id="44" name="Conector recto de flecha 43">
          <a:extLst>
            <a:ext uri="{FF2B5EF4-FFF2-40B4-BE49-F238E27FC236}">
              <a16:creationId xmlns:a16="http://schemas.microsoft.com/office/drawing/2014/main" id="{01FE8A4A-CE6E-E7A3-5D9D-1397F623E1D1}"/>
            </a:ext>
          </a:extLst>
        </xdr:cNvPr>
        <xdr:cNvCxnSpPr/>
      </xdr:nvCxnSpPr>
      <xdr:spPr>
        <a:xfrm>
          <a:off x="390525" y="2971800"/>
          <a:ext cx="32385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400545</xdr:colOff>
      <xdr:row>3</xdr:row>
      <xdr:rowOff>117145</xdr:rowOff>
    </xdr:from>
    <xdr:to>
      <xdr:col>0</xdr:col>
      <xdr:colOff>686295</xdr:colOff>
      <xdr:row>3</xdr:row>
      <xdr:rowOff>117145</xdr:rowOff>
    </xdr:to>
    <xdr:cxnSp macro="">
      <xdr:nvCxnSpPr>
        <xdr:cNvPr id="46" name="Conector recto 45">
          <a:extLst>
            <a:ext uri="{FF2B5EF4-FFF2-40B4-BE49-F238E27FC236}">
              <a16:creationId xmlns:a16="http://schemas.microsoft.com/office/drawing/2014/main" id="{76D1E98F-0A5F-6F3C-B9FD-49B468C34148}"/>
            </a:ext>
          </a:extLst>
        </xdr:cNvPr>
        <xdr:cNvCxnSpPr/>
      </xdr:nvCxnSpPr>
      <xdr:spPr>
        <a:xfrm flipH="1">
          <a:off x="400545" y="692356"/>
          <a:ext cx="28575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409575</xdr:colOff>
      <xdr:row>3</xdr:row>
      <xdr:rowOff>114300</xdr:rowOff>
    </xdr:from>
    <xdr:to>
      <xdr:col>0</xdr:col>
      <xdr:colOff>419100</xdr:colOff>
      <xdr:row>13</xdr:row>
      <xdr:rowOff>133350</xdr:rowOff>
    </xdr:to>
    <xdr:cxnSp macro="">
      <xdr:nvCxnSpPr>
        <xdr:cNvPr id="48" name="Conector recto 47">
          <a:extLst>
            <a:ext uri="{FF2B5EF4-FFF2-40B4-BE49-F238E27FC236}">
              <a16:creationId xmlns:a16="http://schemas.microsoft.com/office/drawing/2014/main" id="{78DBCD90-0F95-5306-8499-A72DD81D4906}"/>
            </a:ext>
          </a:extLst>
        </xdr:cNvPr>
        <xdr:cNvCxnSpPr/>
      </xdr:nvCxnSpPr>
      <xdr:spPr>
        <a:xfrm>
          <a:off x="409575" y="685800"/>
          <a:ext cx="9525" cy="23050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1686719</xdr:colOff>
      <xdr:row>13</xdr:row>
      <xdr:rowOff>99219</xdr:rowOff>
    </xdr:from>
    <xdr:to>
      <xdr:col>3</xdr:col>
      <xdr:colOff>0</xdr:colOff>
      <xdr:row>13</xdr:row>
      <xdr:rowOff>109141</xdr:rowOff>
    </xdr:to>
    <xdr:cxnSp macro="">
      <xdr:nvCxnSpPr>
        <xdr:cNvPr id="50" name="Conector recto de flecha 49">
          <a:extLst>
            <a:ext uri="{FF2B5EF4-FFF2-40B4-BE49-F238E27FC236}">
              <a16:creationId xmlns:a16="http://schemas.microsoft.com/office/drawing/2014/main" id="{D77AD9AF-737B-8B39-4717-710BECC53284}"/>
            </a:ext>
          </a:extLst>
        </xdr:cNvPr>
        <xdr:cNvCxnSpPr/>
      </xdr:nvCxnSpPr>
      <xdr:spPr>
        <a:xfrm>
          <a:off x="2450703" y="2926953"/>
          <a:ext cx="793750" cy="992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12</xdr:row>
      <xdr:rowOff>99218</xdr:rowOff>
    </xdr:from>
    <xdr:to>
      <xdr:col>7</xdr:col>
      <xdr:colOff>0</xdr:colOff>
      <xdr:row>14</xdr:row>
      <xdr:rowOff>109140</xdr:rowOff>
    </xdr:to>
    <xdr:cxnSp macro="">
      <xdr:nvCxnSpPr>
        <xdr:cNvPr id="52" name="Conector: angular 51">
          <a:extLst>
            <a:ext uri="{FF2B5EF4-FFF2-40B4-BE49-F238E27FC236}">
              <a16:creationId xmlns:a16="http://schemas.microsoft.com/office/drawing/2014/main" id="{3D937FFE-A32B-2209-96A1-F763EC4BD49E}"/>
            </a:ext>
          </a:extLst>
        </xdr:cNvPr>
        <xdr:cNvCxnSpPr/>
      </xdr:nvCxnSpPr>
      <xdr:spPr>
        <a:xfrm rot="10800000" flipV="1">
          <a:off x="5407422" y="2738437"/>
          <a:ext cx="783828" cy="386953"/>
        </a:xfrm>
        <a:prstGeom prst="bentConnector3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633334</xdr:colOff>
      <xdr:row>7</xdr:row>
      <xdr:rowOff>119064</xdr:rowOff>
    </xdr:from>
    <xdr:to>
      <xdr:col>11</xdr:col>
      <xdr:colOff>483062</xdr:colOff>
      <xdr:row>8</xdr:row>
      <xdr:rowOff>114103</xdr:rowOff>
    </xdr:to>
    <xdr:cxnSp macro="">
      <xdr:nvCxnSpPr>
        <xdr:cNvPr id="80" name="Conector: curvado 79">
          <a:extLst>
            <a:ext uri="{FF2B5EF4-FFF2-40B4-BE49-F238E27FC236}">
              <a16:creationId xmlns:a16="http://schemas.microsoft.com/office/drawing/2014/main" id="{486C0FB5-C7E1-686C-3F7D-19DC7959022F}"/>
            </a:ext>
          </a:extLst>
        </xdr:cNvPr>
        <xdr:cNvCxnSpPr>
          <a:stCxn id="55" idx="3"/>
          <a:endCxn id="55" idx="0"/>
        </xdr:cNvCxnSpPr>
      </xdr:nvCxnSpPr>
      <xdr:spPr>
        <a:xfrm flipH="1" flipV="1">
          <a:off x="10495678" y="1438673"/>
          <a:ext cx="613712" cy="183555"/>
        </a:xfrm>
        <a:prstGeom prst="curvedConnector4">
          <a:avLst>
            <a:gd name="adj1" fmla="val -37249"/>
            <a:gd name="adj2" fmla="val 224540"/>
          </a:avLst>
        </a:prstGeom>
        <a:ln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694532</xdr:colOff>
      <xdr:row>3</xdr:row>
      <xdr:rowOff>59531</xdr:rowOff>
    </xdr:from>
    <xdr:to>
      <xdr:col>13</xdr:col>
      <xdr:colOff>33340</xdr:colOff>
      <xdr:row>20</xdr:row>
      <xdr:rowOff>152400</xdr:rowOff>
    </xdr:to>
    <xdr:grpSp>
      <xdr:nvGrpSpPr>
        <xdr:cNvPr id="88" name="Grupo 87">
          <a:extLst>
            <a:ext uri="{FF2B5EF4-FFF2-40B4-BE49-F238E27FC236}">
              <a16:creationId xmlns:a16="http://schemas.microsoft.com/office/drawing/2014/main" id="{CB978E19-BB0C-6F00-301D-6893C566E736}"/>
            </a:ext>
          </a:extLst>
        </xdr:cNvPr>
        <xdr:cNvGrpSpPr/>
      </xdr:nvGrpSpPr>
      <xdr:grpSpPr>
        <a:xfrm>
          <a:off x="8056563" y="615156"/>
          <a:ext cx="2441048" cy="3248025"/>
          <a:chOff x="9423004" y="198437"/>
          <a:chExt cx="2655491" cy="3297635"/>
        </a:xfrm>
      </xdr:grpSpPr>
      <xdr:sp macro="" textlink="">
        <xdr:nvSpPr>
          <xdr:cNvPr id="54" name="Diagrama de flujo: conector 53">
            <a:extLst>
              <a:ext uri="{FF2B5EF4-FFF2-40B4-BE49-F238E27FC236}">
                <a16:creationId xmlns:a16="http://schemas.microsoft.com/office/drawing/2014/main" id="{1D152088-6686-E6F0-879E-95A9BC34738D}"/>
              </a:ext>
            </a:extLst>
          </xdr:cNvPr>
          <xdr:cNvSpPr/>
        </xdr:nvSpPr>
        <xdr:spPr>
          <a:xfrm>
            <a:off x="10497343" y="198437"/>
            <a:ext cx="267891" cy="238125"/>
          </a:xfrm>
          <a:prstGeom prst="flowChartConnector">
            <a:avLst/>
          </a:prstGeom>
        </xdr:spPr>
        <xdr:style>
          <a:lnRef idx="2">
            <a:schemeClr val="dk1">
              <a:shade val="15000"/>
            </a:schemeClr>
          </a:lnRef>
          <a:fillRef idx="1">
            <a:schemeClr val="dk1"/>
          </a:fillRef>
          <a:effectRef idx="0">
            <a:schemeClr val="dk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55" name="Rectángulo: esquinas redondeadas 54" descr="asdf">
            <a:extLst>
              <a:ext uri="{FF2B5EF4-FFF2-40B4-BE49-F238E27FC236}">
                <a16:creationId xmlns:a16="http://schemas.microsoft.com/office/drawing/2014/main" id="{1BE11D87-376E-4396-57ED-2691D3428EDC}"/>
              </a:ext>
            </a:extLst>
          </xdr:cNvPr>
          <xdr:cNvSpPr/>
        </xdr:nvSpPr>
        <xdr:spPr>
          <a:xfrm>
            <a:off x="10140156" y="1012032"/>
            <a:ext cx="1031875" cy="367110"/>
          </a:xfrm>
          <a:prstGeom prst="roundRect">
            <a:avLst/>
          </a:prstGeom>
        </xdr:spPr>
        <xdr:style>
          <a:lnRef idx="2">
            <a:schemeClr val="accent6"/>
          </a:lnRef>
          <a:fillRef idx="1">
            <a:schemeClr val="lt1"/>
          </a:fillRef>
          <a:effectRef idx="0">
            <a:schemeClr val="accent6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algn="ctr"/>
            <a:r>
              <a:rPr lang="es-MX" sz="1100"/>
              <a:t>Borrador</a:t>
            </a:r>
          </a:p>
        </xdr:txBody>
      </xdr:sp>
      <xdr:grpSp>
        <xdr:nvGrpSpPr>
          <xdr:cNvPr id="69" name="Grupo 68">
            <a:extLst>
              <a:ext uri="{FF2B5EF4-FFF2-40B4-BE49-F238E27FC236}">
                <a16:creationId xmlns:a16="http://schemas.microsoft.com/office/drawing/2014/main" id="{966091F8-216D-E85E-6803-7644EC24318B}"/>
              </a:ext>
            </a:extLst>
          </xdr:cNvPr>
          <xdr:cNvGrpSpPr/>
        </xdr:nvGrpSpPr>
        <xdr:grpSpPr>
          <a:xfrm>
            <a:off x="9723438" y="3075782"/>
            <a:ext cx="446484" cy="386953"/>
            <a:chOff x="10417969" y="3700859"/>
            <a:chExt cx="446484" cy="386953"/>
          </a:xfrm>
        </xdr:grpSpPr>
        <xdr:sp macro="" textlink="">
          <xdr:nvSpPr>
            <xdr:cNvPr id="61" name="Diagrama de flujo: conector 60">
              <a:extLst>
                <a:ext uri="{FF2B5EF4-FFF2-40B4-BE49-F238E27FC236}">
                  <a16:creationId xmlns:a16="http://schemas.microsoft.com/office/drawing/2014/main" id="{926B074E-8FE5-3E93-AE96-4D4BA4BBF02A}"/>
                </a:ext>
              </a:extLst>
            </xdr:cNvPr>
            <xdr:cNvSpPr/>
          </xdr:nvSpPr>
          <xdr:spPr>
            <a:xfrm>
              <a:off x="10417969" y="3700859"/>
              <a:ext cx="446484" cy="386953"/>
            </a:xfrm>
            <a:prstGeom prst="flowChartConnector">
              <a:avLst/>
            </a:prstGeom>
          </xdr:spPr>
          <xdr:style>
            <a:lnRef idx="2">
              <a:schemeClr val="accent6"/>
            </a:lnRef>
            <a:fillRef idx="1">
              <a:schemeClr val="lt1"/>
            </a:fillRef>
            <a:effectRef idx="0">
              <a:schemeClr val="accent6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sp macro="" textlink="">
          <xdr:nvSpPr>
            <xdr:cNvPr id="60" name="Diagrama de flujo: conector 59">
              <a:extLst>
                <a:ext uri="{FF2B5EF4-FFF2-40B4-BE49-F238E27FC236}">
                  <a16:creationId xmlns:a16="http://schemas.microsoft.com/office/drawing/2014/main" id="{7743E0EC-8281-4394-9798-8B6AF8E655FF}"/>
                </a:ext>
              </a:extLst>
            </xdr:cNvPr>
            <xdr:cNvSpPr/>
          </xdr:nvSpPr>
          <xdr:spPr>
            <a:xfrm>
              <a:off x="10507265" y="3770313"/>
              <a:ext cx="267891" cy="238125"/>
            </a:xfrm>
            <a:prstGeom prst="flowChartConnector">
              <a:avLst/>
            </a:prstGeom>
          </xdr:spPr>
          <xdr:style>
            <a:lnRef idx="2">
              <a:schemeClr val="dk1">
                <a:shade val="15000"/>
              </a:schemeClr>
            </a:lnRef>
            <a:fillRef idx="1">
              <a:schemeClr val="dk1"/>
            </a:fillRef>
            <a:effectRef idx="0">
              <a:schemeClr val="dk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</xdr:grpSp>
      <xdr:sp macro="" textlink="">
        <xdr:nvSpPr>
          <xdr:cNvPr id="62" name="Rectángulo: esquinas redondeadas 61" descr="asdf">
            <a:extLst>
              <a:ext uri="{FF2B5EF4-FFF2-40B4-BE49-F238E27FC236}">
                <a16:creationId xmlns:a16="http://schemas.microsoft.com/office/drawing/2014/main" id="{A9D9A905-95F5-4C7E-BCCE-7734F21F87D3}"/>
              </a:ext>
            </a:extLst>
          </xdr:cNvPr>
          <xdr:cNvSpPr/>
        </xdr:nvSpPr>
        <xdr:spPr>
          <a:xfrm>
            <a:off x="11046620" y="2027636"/>
            <a:ext cx="1031875" cy="367110"/>
          </a:xfrm>
          <a:prstGeom prst="roundRect">
            <a:avLst/>
          </a:prstGeom>
        </xdr:spPr>
        <xdr:style>
          <a:lnRef idx="2">
            <a:schemeClr val="accent6"/>
          </a:lnRef>
          <a:fillRef idx="1">
            <a:schemeClr val="lt1"/>
          </a:fillRef>
          <a:effectRef idx="0">
            <a:schemeClr val="accent6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algn="ctr"/>
            <a:r>
              <a:rPr lang="es-MX" sz="1100"/>
              <a:t>Cancelado</a:t>
            </a:r>
          </a:p>
        </xdr:txBody>
      </xdr:sp>
      <xdr:sp macro="" textlink="">
        <xdr:nvSpPr>
          <xdr:cNvPr id="63" name="Rectángulo: esquinas redondeadas 62" descr="asdf">
            <a:extLst>
              <a:ext uri="{FF2B5EF4-FFF2-40B4-BE49-F238E27FC236}">
                <a16:creationId xmlns:a16="http://schemas.microsoft.com/office/drawing/2014/main" id="{C9501632-36DC-4764-B1FA-54CFBC9EFB88}"/>
              </a:ext>
            </a:extLst>
          </xdr:cNvPr>
          <xdr:cNvSpPr/>
        </xdr:nvSpPr>
        <xdr:spPr>
          <a:xfrm>
            <a:off x="9423004" y="1991519"/>
            <a:ext cx="1031875" cy="367110"/>
          </a:xfrm>
          <a:prstGeom prst="roundRect">
            <a:avLst/>
          </a:prstGeom>
        </xdr:spPr>
        <xdr:style>
          <a:lnRef idx="2">
            <a:schemeClr val="accent6"/>
          </a:lnRef>
          <a:fillRef idx="1">
            <a:schemeClr val="lt1"/>
          </a:fillRef>
          <a:effectRef idx="0">
            <a:schemeClr val="accent6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algn="ctr"/>
            <a:r>
              <a:rPr lang="es-MX" sz="1100"/>
              <a:t>Enviado</a:t>
            </a:r>
          </a:p>
        </xdr:txBody>
      </xdr:sp>
      <xdr:cxnSp macro="">
        <xdr:nvCxnSpPr>
          <xdr:cNvPr id="65" name="Conector recto de flecha 64">
            <a:extLst>
              <a:ext uri="{FF2B5EF4-FFF2-40B4-BE49-F238E27FC236}">
                <a16:creationId xmlns:a16="http://schemas.microsoft.com/office/drawing/2014/main" id="{5918B1DB-2577-270E-0719-F7B608921499}"/>
              </a:ext>
            </a:extLst>
          </xdr:cNvPr>
          <xdr:cNvCxnSpPr>
            <a:stCxn id="54" idx="4"/>
            <a:endCxn id="55" idx="0"/>
          </xdr:cNvCxnSpPr>
        </xdr:nvCxnSpPr>
        <xdr:spPr>
          <a:xfrm>
            <a:off x="10631289" y="436562"/>
            <a:ext cx="24805" cy="57547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6" name="Conector recto de flecha 65">
            <a:extLst>
              <a:ext uri="{FF2B5EF4-FFF2-40B4-BE49-F238E27FC236}">
                <a16:creationId xmlns:a16="http://schemas.microsoft.com/office/drawing/2014/main" id="{CC0A2CFC-9953-49D1-AAFE-DA19F13DF593}"/>
              </a:ext>
            </a:extLst>
          </xdr:cNvPr>
          <xdr:cNvCxnSpPr>
            <a:stCxn id="55" idx="2"/>
            <a:endCxn id="62" idx="0"/>
          </xdr:cNvCxnSpPr>
        </xdr:nvCxnSpPr>
        <xdr:spPr>
          <a:xfrm>
            <a:off x="10656094" y="1379142"/>
            <a:ext cx="906464" cy="648494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8" name="Conector recto de flecha 67">
            <a:extLst>
              <a:ext uri="{FF2B5EF4-FFF2-40B4-BE49-F238E27FC236}">
                <a16:creationId xmlns:a16="http://schemas.microsoft.com/office/drawing/2014/main" id="{DE10B12A-3849-4108-A229-50E7D32C84D7}"/>
              </a:ext>
            </a:extLst>
          </xdr:cNvPr>
          <xdr:cNvCxnSpPr>
            <a:stCxn id="55" idx="2"/>
            <a:endCxn id="63" idx="0"/>
          </xdr:cNvCxnSpPr>
        </xdr:nvCxnSpPr>
        <xdr:spPr>
          <a:xfrm flipH="1">
            <a:off x="9938942" y="1379142"/>
            <a:ext cx="717152" cy="612377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2" name="Conector recto de flecha 71">
            <a:extLst>
              <a:ext uri="{FF2B5EF4-FFF2-40B4-BE49-F238E27FC236}">
                <a16:creationId xmlns:a16="http://schemas.microsoft.com/office/drawing/2014/main" id="{AC79870F-1CF9-401C-9B4D-C673DC5DC6A7}"/>
              </a:ext>
            </a:extLst>
          </xdr:cNvPr>
          <xdr:cNvCxnSpPr>
            <a:endCxn id="61" idx="0"/>
          </xdr:cNvCxnSpPr>
        </xdr:nvCxnSpPr>
        <xdr:spPr>
          <a:xfrm>
            <a:off x="9920486" y="2355056"/>
            <a:ext cx="26194" cy="720726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grpSp>
        <xdr:nvGrpSpPr>
          <xdr:cNvPr id="84" name="Grupo 83">
            <a:extLst>
              <a:ext uri="{FF2B5EF4-FFF2-40B4-BE49-F238E27FC236}">
                <a16:creationId xmlns:a16="http://schemas.microsoft.com/office/drawing/2014/main" id="{77E4158B-3B31-4D23-AB80-BA73FC8D6AC2}"/>
              </a:ext>
            </a:extLst>
          </xdr:cNvPr>
          <xdr:cNvGrpSpPr/>
        </xdr:nvGrpSpPr>
        <xdr:grpSpPr>
          <a:xfrm>
            <a:off x="11383963" y="3109119"/>
            <a:ext cx="446484" cy="386953"/>
            <a:chOff x="10417969" y="3700859"/>
            <a:chExt cx="446484" cy="386953"/>
          </a:xfrm>
        </xdr:grpSpPr>
        <xdr:sp macro="" textlink="">
          <xdr:nvSpPr>
            <xdr:cNvPr id="85" name="Diagrama de flujo: conector 84">
              <a:extLst>
                <a:ext uri="{FF2B5EF4-FFF2-40B4-BE49-F238E27FC236}">
                  <a16:creationId xmlns:a16="http://schemas.microsoft.com/office/drawing/2014/main" id="{8F703114-1072-FC8F-166C-7344EA0063FE}"/>
                </a:ext>
              </a:extLst>
            </xdr:cNvPr>
            <xdr:cNvSpPr/>
          </xdr:nvSpPr>
          <xdr:spPr>
            <a:xfrm>
              <a:off x="10417969" y="3700859"/>
              <a:ext cx="446484" cy="386953"/>
            </a:xfrm>
            <a:prstGeom prst="flowChartConnector">
              <a:avLst/>
            </a:prstGeom>
          </xdr:spPr>
          <xdr:style>
            <a:lnRef idx="2">
              <a:schemeClr val="accent6"/>
            </a:lnRef>
            <a:fillRef idx="1">
              <a:schemeClr val="lt1"/>
            </a:fillRef>
            <a:effectRef idx="0">
              <a:schemeClr val="accent6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sp macro="" textlink="">
          <xdr:nvSpPr>
            <xdr:cNvPr id="86" name="Diagrama de flujo: conector 85">
              <a:extLst>
                <a:ext uri="{FF2B5EF4-FFF2-40B4-BE49-F238E27FC236}">
                  <a16:creationId xmlns:a16="http://schemas.microsoft.com/office/drawing/2014/main" id="{9F0B6EC9-2E72-3EAF-9C5B-061C263DC966}"/>
                </a:ext>
              </a:extLst>
            </xdr:cNvPr>
            <xdr:cNvSpPr/>
          </xdr:nvSpPr>
          <xdr:spPr>
            <a:xfrm>
              <a:off x="10507265" y="3770313"/>
              <a:ext cx="267891" cy="238125"/>
            </a:xfrm>
            <a:prstGeom prst="flowChartConnector">
              <a:avLst/>
            </a:prstGeom>
          </xdr:spPr>
          <xdr:style>
            <a:lnRef idx="2">
              <a:schemeClr val="dk1">
                <a:shade val="15000"/>
              </a:schemeClr>
            </a:lnRef>
            <a:fillRef idx="1">
              <a:schemeClr val="dk1"/>
            </a:fillRef>
            <a:effectRef idx="0">
              <a:schemeClr val="dk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</xdr:grpSp>
      <xdr:cxnSp macro="">
        <xdr:nvCxnSpPr>
          <xdr:cNvPr id="87" name="Conector recto de flecha 86">
            <a:extLst>
              <a:ext uri="{FF2B5EF4-FFF2-40B4-BE49-F238E27FC236}">
                <a16:creationId xmlns:a16="http://schemas.microsoft.com/office/drawing/2014/main" id="{FA990D3A-D738-4DD9-8132-47969DBD7ADC}"/>
              </a:ext>
            </a:extLst>
          </xdr:cNvPr>
          <xdr:cNvCxnSpPr>
            <a:endCxn id="85" idx="0"/>
          </xdr:cNvCxnSpPr>
        </xdr:nvCxnSpPr>
        <xdr:spPr>
          <a:xfrm>
            <a:off x="11581011" y="2388393"/>
            <a:ext cx="26194" cy="720726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C242F-32E8-4E6D-97FF-65153A928838}">
  <dimension ref="A2:M42"/>
  <sheetViews>
    <sheetView tabSelected="1" topLeftCell="A10" zoomScale="96" workbookViewId="0">
      <selection activeCell="C35" sqref="C35"/>
    </sheetView>
  </sheetViews>
  <sheetFormatPr baseColWidth="10" defaultRowHeight="14.5" x14ac:dyDescent="0.35"/>
  <cols>
    <col min="1" max="1" width="4.54296875" bestFit="1" customWidth="1"/>
    <col min="2" max="2" width="22.453125" customWidth="1"/>
    <col min="3" max="3" width="9.54296875" bestFit="1" customWidth="1"/>
    <col min="4" max="4" width="8.7265625" bestFit="1" customWidth="1"/>
    <col min="5" max="5" width="21" bestFit="1" customWidth="1"/>
    <col min="6" max="6" width="9.453125" bestFit="1" customWidth="1"/>
    <col min="7" max="7" width="4.81640625" bestFit="1" customWidth="1"/>
    <col min="8" max="8" width="24.81640625" customWidth="1"/>
    <col min="10" max="10" width="6.453125" bestFit="1" customWidth="1"/>
    <col min="12" max="12" width="8" bestFit="1" customWidth="1"/>
    <col min="13" max="13" width="8.26953125" bestFit="1" customWidth="1"/>
  </cols>
  <sheetData>
    <row r="2" spans="1:13" x14ac:dyDescent="0.35">
      <c r="A2" s="6" t="s">
        <v>24</v>
      </c>
      <c r="B2" s="7" t="s">
        <v>19</v>
      </c>
      <c r="D2" s="46" t="s">
        <v>36</v>
      </c>
      <c r="E2" s="46"/>
      <c r="F2" s="46"/>
      <c r="G2" s="46"/>
      <c r="H2" s="46"/>
      <c r="J2" s="46" t="s">
        <v>41</v>
      </c>
      <c r="K2" s="46"/>
      <c r="L2" s="46"/>
      <c r="M2" s="46"/>
    </row>
    <row r="3" spans="1:13" x14ac:dyDescent="0.35">
      <c r="B3" s="2"/>
    </row>
    <row r="4" spans="1:13" x14ac:dyDescent="0.35">
      <c r="B4" s="3" t="s">
        <v>20</v>
      </c>
    </row>
    <row r="5" spans="1:13" x14ac:dyDescent="0.35">
      <c r="B5" s="3" t="s">
        <v>21</v>
      </c>
    </row>
    <row r="6" spans="1:13" x14ac:dyDescent="0.35">
      <c r="B6" s="3" t="s">
        <v>22</v>
      </c>
      <c r="L6" t="s">
        <v>38</v>
      </c>
    </row>
    <row r="7" spans="1:13" x14ac:dyDescent="0.35">
      <c r="B7" s="3" t="s">
        <v>23</v>
      </c>
    </row>
    <row r="8" spans="1:13" x14ac:dyDescent="0.35">
      <c r="M8" t="s">
        <v>51</v>
      </c>
    </row>
    <row r="10" spans="1:13" x14ac:dyDescent="0.35">
      <c r="A10" s="5" t="s">
        <v>2</v>
      </c>
      <c r="B10" s="7" t="s">
        <v>1</v>
      </c>
      <c r="C10" s="6" t="s">
        <v>35</v>
      </c>
      <c r="D10" s="1"/>
      <c r="E10" s="8"/>
      <c r="F10" s="1"/>
      <c r="G10" s="6" t="s">
        <v>35</v>
      </c>
      <c r="H10" s="7" t="s">
        <v>0</v>
      </c>
    </row>
    <row r="11" spans="1:13" x14ac:dyDescent="0.35">
      <c r="B11" s="2"/>
      <c r="C11" s="6"/>
      <c r="D11" s="50" t="s">
        <v>15</v>
      </c>
      <c r="E11" s="51"/>
      <c r="F11" s="52"/>
      <c r="G11" s="6"/>
      <c r="H11" s="2"/>
    </row>
    <row r="12" spans="1:13" x14ac:dyDescent="0.35">
      <c r="B12" s="3" t="s">
        <v>3</v>
      </c>
      <c r="D12" s="53"/>
      <c r="E12" s="53"/>
      <c r="F12" s="53"/>
      <c r="H12" s="4" t="s">
        <v>3</v>
      </c>
      <c r="J12" t="s">
        <v>39</v>
      </c>
      <c r="M12" t="s">
        <v>40</v>
      </c>
    </row>
    <row r="13" spans="1:13" x14ac:dyDescent="0.35">
      <c r="B13" s="3" t="s">
        <v>9</v>
      </c>
      <c r="D13" s="53" t="s">
        <v>3</v>
      </c>
      <c r="E13" s="53"/>
      <c r="F13" s="53"/>
      <c r="H13" s="4" t="s">
        <v>4</v>
      </c>
    </row>
    <row r="14" spans="1:13" x14ac:dyDescent="0.35">
      <c r="B14" s="3" t="s">
        <v>10</v>
      </c>
      <c r="D14" s="53" t="s">
        <v>16</v>
      </c>
      <c r="E14" s="53"/>
      <c r="F14" s="53"/>
      <c r="H14" s="4" t="s">
        <v>5</v>
      </c>
    </row>
    <row r="15" spans="1:13" x14ac:dyDescent="0.35">
      <c r="B15" s="3" t="s">
        <v>11</v>
      </c>
      <c r="D15" s="53" t="s">
        <v>0</v>
      </c>
      <c r="E15" s="53"/>
      <c r="F15" s="53"/>
      <c r="H15" s="4" t="s">
        <v>7</v>
      </c>
    </row>
    <row r="16" spans="1:13" x14ac:dyDescent="0.35">
      <c r="B16" s="3" t="s">
        <v>12</v>
      </c>
      <c r="D16" s="53" t="s">
        <v>17</v>
      </c>
      <c r="E16" s="53"/>
      <c r="F16" s="53"/>
      <c r="H16" s="4" t="s">
        <v>8</v>
      </c>
    </row>
    <row r="17" spans="1:6" x14ac:dyDescent="0.35">
      <c r="B17" s="3" t="s">
        <v>13</v>
      </c>
      <c r="D17" s="53" t="s">
        <v>6</v>
      </c>
      <c r="E17" s="53"/>
      <c r="F17" s="53"/>
    </row>
    <row r="18" spans="1:6" x14ac:dyDescent="0.35">
      <c r="B18" s="3" t="s">
        <v>14</v>
      </c>
      <c r="D18" s="53" t="s">
        <v>18</v>
      </c>
      <c r="E18" s="53"/>
      <c r="F18" s="53"/>
    </row>
    <row r="20" spans="1:6" ht="15" thickBot="1" x14ac:dyDescent="0.4"/>
    <row r="21" spans="1:6" ht="15.5" x14ac:dyDescent="0.35">
      <c r="A21" s="43" t="s">
        <v>37</v>
      </c>
      <c r="B21" s="44"/>
      <c r="C21" s="44"/>
      <c r="D21" s="44"/>
      <c r="E21" s="44"/>
      <c r="F21" s="45"/>
    </row>
    <row r="22" spans="1:6" x14ac:dyDescent="0.35">
      <c r="A22" s="24"/>
      <c r="F22" s="25"/>
    </row>
    <row r="23" spans="1:6" x14ac:dyDescent="0.35">
      <c r="A23" s="24"/>
      <c r="F23" s="25"/>
    </row>
    <row r="24" spans="1:6" x14ac:dyDescent="0.35">
      <c r="A24" s="47" t="s">
        <v>26</v>
      </c>
      <c r="B24" s="48"/>
      <c r="C24" s="48"/>
      <c r="D24" s="49"/>
      <c r="F24" s="25"/>
    </row>
    <row r="25" spans="1:6" x14ac:dyDescent="0.35">
      <c r="A25" s="26">
        <v>1</v>
      </c>
      <c r="B25" s="2" t="s">
        <v>27</v>
      </c>
      <c r="C25" s="2">
        <v>100</v>
      </c>
      <c r="D25" s="2">
        <v>1</v>
      </c>
      <c r="F25" s="25"/>
    </row>
    <row r="26" spans="1:6" x14ac:dyDescent="0.35">
      <c r="A26" s="26">
        <v>2</v>
      </c>
      <c r="B26" s="2" t="s">
        <v>28</v>
      </c>
      <c r="C26" s="2">
        <v>90</v>
      </c>
      <c r="D26" s="2">
        <v>1</v>
      </c>
      <c r="F26" s="25"/>
    </row>
    <row r="27" spans="1:6" x14ac:dyDescent="0.35">
      <c r="A27" s="26">
        <v>3</v>
      </c>
      <c r="B27" s="2" t="s">
        <v>29</v>
      </c>
      <c r="C27" s="2">
        <v>70</v>
      </c>
      <c r="D27" s="2">
        <v>1</v>
      </c>
      <c r="F27" s="25"/>
    </row>
    <row r="28" spans="1:6" x14ac:dyDescent="0.35">
      <c r="A28" s="24"/>
      <c r="F28" s="25"/>
    </row>
    <row r="29" spans="1:6" x14ac:dyDescent="0.35">
      <c r="A29" s="40" t="s">
        <v>1</v>
      </c>
      <c r="B29" s="41"/>
      <c r="C29" s="41"/>
      <c r="D29" s="41"/>
      <c r="E29" s="41"/>
      <c r="F29" s="42"/>
    </row>
    <row r="30" spans="1:6" x14ac:dyDescent="0.35">
      <c r="A30" s="26">
        <v>1</v>
      </c>
      <c r="B30" s="2" t="s">
        <v>25</v>
      </c>
      <c r="C30" s="23">
        <v>46241</v>
      </c>
      <c r="D30" s="2" t="s">
        <v>30</v>
      </c>
      <c r="E30" s="2" t="s">
        <v>31</v>
      </c>
      <c r="F30" s="27">
        <f>SUM(E35:E37)</f>
        <v>540</v>
      </c>
    </row>
    <row r="31" spans="1:6" x14ac:dyDescent="0.35">
      <c r="A31" s="26">
        <v>2</v>
      </c>
      <c r="B31" s="2" t="s">
        <v>58</v>
      </c>
      <c r="C31" s="23">
        <v>46241</v>
      </c>
      <c r="D31" s="2" t="s">
        <v>33</v>
      </c>
      <c r="E31" s="2" t="s">
        <v>34</v>
      </c>
      <c r="F31" s="27">
        <f>SUM(E38:E39)</f>
        <v>950</v>
      </c>
    </row>
    <row r="32" spans="1:6" x14ac:dyDescent="0.35">
      <c r="A32" s="26">
        <v>3</v>
      </c>
      <c r="B32" s="2" t="s">
        <v>25</v>
      </c>
      <c r="C32" s="23">
        <v>46241</v>
      </c>
      <c r="D32" s="2" t="s">
        <v>30</v>
      </c>
      <c r="E32" s="2" t="s">
        <v>31</v>
      </c>
      <c r="F32" s="27">
        <f>E40</f>
        <v>140</v>
      </c>
    </row>
    <row r="33" spans="1:6" x14ac:dyDescent="0.35">
      <c r="A33" s="24"/>
      <c r="F33" s="25"/>
    </row>
    <row r="34" spans="1:6" x14ac:dyDescent="0.35">
      <c r="A34" s="47" t="s">
        <v>32</v>
      </c>
      <c r="B34" s="48"/>
      <c r="C34" s="48"/>
      <c r="D34" s="48"/>
      <c r="E34" s="49"/>
      <c r="F34" s="25"/>
    </row>
    <row r="35" spans="1:6" x14ac:dyDescent="0.35">
      <c r="A35" s="26">
        <v>1</v>
      </c>
      <c r="B35" s="2">
        <v>1</v>
      </c>
      <c r="C35" s="2">
        <v>2</v>
      </c>
      <c r="D35" s="2">
        <v>100</v>
      </c>
      <c r="E35" s="2">
        <v>200</v>
      </c>
      <c r="F35" s="25"/>
    </row>
    <row r="36" spans="1:6" x14ac:dyDescent="0.35">
      <c r="A36" s="26">
        <v>1</v>
      </c>
      <c r="B36" s="2">
        <v>2</v>
      </c>
      <c r="C36" s="2">
        <v>3</v>
      </c>
      <c r="D36" s="2">
        <v>90</v>
      </c>
      <c r="E36" s="2">
        <v>270</v>
      </c>
      <c r="F36" s="25"/>
    </row>
    <row r="37" spans="1:6" x14ac:dyDescent="0.35">
      <c r="A37" s="26">
        <v>1</v>
      </c>
      <c r="B37" s="2">
        <v>3</v>
      </c>
      <c r="C37" s="2">
        <v>1</v>
      </c>
      <c r="D37" s="2">
        <v>70</v>
      </c>
      <c r="E37" s="2">
        <v>70</v>
      </c>
      <c r="F37" s="25"/>
    </row>
    <row r="38" spans="1:6" x14ac:dyDescent="0.35">
      <c r="A38" s="26">
        <v>2</v>
      </c>
      <c r="B38" s="2">
        <v>1</v>
      </c>
      <c r="C38" s="2">
        <v>5</v>
      </c>
      <c r="D38" s="2">
        <v>100</v>
      </c>
      <c r="E38" s="2">
        <v>500</v>
      </c>
      <c r="F38" s="25"/>
    </row>
    <row r="39" spans="1:6" x14ac:dyDescent="0.35">
      <c r="A39" s="26">
        <v>2</v>
      </c>
      <c r="B39" s="2">
        <v>2</v>
      </c>
      <c r="C39" s="2">
        <v>5</v>
      </c>
      <c r="D39" s="2">
        <v>90</v>
      </c>
      <c r="E39" s="2">
        <v>450</v>
      </c>
      <c r="F39" s="25"/>
    </row>
    <row r="40" spans="1:6" x14ac:dyDescent="0.35">
      <c r="A40" s="26">
        <v>3</v>
      </c>
      <c r="B40" s="2">
        <v>2</v>
      </c>
      <c r="C40" s="2">
        <v>2</v>
      </c>
      <c r="D40" s="2">
        <v>70</v>
      </c>
      <c r="E40" s="2">
        <v>140</v>
      </c>
      <c r="F40" s="25"/>
    </row>
    <row r="41" spans="1:6" x14ac:dyDescent="0.35">
      <c r="A41" s="24"/>
      <c r="F41" s="25"/>
    </row>
    <row r="42" spans="1:6" ht="15" thickBot="1" x14ac:dyDescent="0.4">
      <c r="A42" s="28"/>
      <c r="B42" s="29"/>
      <c r="C42" s="29"/>
      <c r="D42" s="29"/>
      <c r="E42" s="29"/>
      <c r="F42" s="30"/>
    </row>
  </sheetData>
  <mergeCells count="14">
    <mergeCell ref="A29:F29"/>
    <mergeCell ref="A21:F21"/>
    <mergeCell ref="J2:M2"/>
    <mergeCell ref="A34:E34"/>
    <mergeCell ref="D11:F11"/>
    <mergeCell ref="D12:F12"/>
    <mergeCell ref="D2:H2"/>
    <mergeCell ref="D13:F13"/>
    <mergeCell ref="D14:F14"/>
    <mergeCell ref="D15:F15"/>
    <mergeCell ref="D16:F16"/>
    <mergeCell ref="D17:F17"/>
    <mergeCell ref="D18:F18"/>
    <mergeCell ref="A24:D24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1866F0-21F6-4D22-A691-E1B6B7D29C2C}">
  <dimension ref="B2:L31"/>
  <sheetViews>
    <sheetView zoomScale="81" workbookViewId="0">
      <selection activeCell="H14" sqref="H14"/>
    </sheetView>
  </sheetViews>
  <sheetFormatPr baseColWidth="10" defaultColWidth="13" defaultRowHeight="14.5" x14ac:dyDescent="0.35"/>
  <cols>
    <col min="2" max="2" width="2.26953125" bestFit="1" customWidth="1"/>
    <col min="3" max="3" width="16.1796875" bestFit="1" customWidth="1"/>
    <col min="4" max="4" width="26.54296875" bestFit="1" customWidth="1"/>
    <col min="5" max="5" width="13.36328125" bestFit="1" customWidth="1"/>
    <col min="6" max="6" width="26.54296875" bestFit="1" customWidth="1"/>
    <col min="7" max="7" width="2.1796875" customWidth="1"/>
    <col min="9" max="9" width="16" bestFit="1" customWidth="1"/>
    <col min="10" max="10" width="12.453125" bestFit="1" customWidth="1"/>
    <col min="11" max="11" width="17.54296875" bestFit="1" customWidth="1"/>
    <col min="12" max="12" width="6.81640625" bestFit="1" customWidth="1"/>
  </cols>
  <sheetData>
    <row r="2" spans="2:12" x14ac:dyDescent="0.35">
      <c r="B2" s="54" t="s">
        <v>1</v>
      </c>
      <c r="C2" s="55"/>
      <c r="D2" s="55"/>
      <c r="E2" s="55"/>
      <c r="F2" s="55"/>
      <c r="G2" s="56"/>
      <c r="I2" s="57" t="s">
        <v>0</v>
      </c>
      <c r="J2" s="58"/>
      <c r="K2" s="58"/>
      <c r="L2" s="59"/>
    </row>
    <row r="3" spans="2:12" ht="15" thickBot="1" x14ac:dyDescent="0.4">
      <c r="B3" s="9"/>
      <c r="C3" s="15"/>
      <c r="D3" s="15"/>
      <c r="E3" s="15"/>
      <c r="F3" s="15"/>
      <c r="G3" s="10"/>
      <c r="I3" s="17" t="s">
        <v>46</v>
      </c>
      <c r="J3" s="18" t="s">
        <v>5</v>
      </c>
      <c r="K3" s="18" t="s">
        <v>47</v>
      </c>
      <c r="L3" s="19" t="s">
        <v>8</v>
      </c>
    </row>
    <row r="4" spans="2:12" x14ac:dyDescent="0.35">
      <c r="B4" s="9" t="s">
        <v>43</v>
      </c>
      <c r="C4" s="31" t="s">
        <v>9</v>
      </c>
      <c r="D4" s="4">
        <v>1</v>
      </c>
      <c r="E4" s="32" t="s">
        <v>12</v>
      </c>
      <c r="F4" s="4" t="s">
        <v>30</v>
      </c>
      <c r="G4" s="10"/>
      <c r="I4" s="20">
        <v>1001</v>
      </c>
      <c r="J4" s="21" t="s">
        <v>27</v>
      </c>
      <c r="K4" s="21">
        <v>100</v>
      </c>
      <c r="L4" s="22">
        <v>1</v>
      </c>
    </row>
    <row r="5" spans="2:12" x14ac:dyDescent="0.35">
      <c r="B5" s="9" t="s">
        <v>44</v>
      </c>
      <c r="C5" s="33" t="s">
        <v>10</v>
      </c>
      <c r="D5" s="4" t="s">
        <v>48</v>
      </c>
      <c r="E5" s="34" t="s">
        <v>42</v>
      </c>
      <c r="F5" s="4" t="s">
        <v>49</v>
      </c>
      <c r="G5" s="10"/>
      <c r="I5" s="14">
        <v>1002</v>
      </c>
      <c r="J5" s="15" t="s">
        <v>28</v>
      </c>
      <c r="K5" s="15">
        <v>120</v>
      </c>
      <c r="L5" s="16">
        <v>1</v>
      </c>
    </row>
    <row r="6" spans="2:12" ht="15" thickBot="1" x14ac:dyDescent="0.4">
      <c r="B6" s="9"/>
      <c r="C6" s="35" t="s">
        <v>11</v>
      </c>
      <c r="D6" s="37">
        <v>46242</v>
      </c>
      <c r="E6" s="36" t="s">
        <v>14</v>
      </c>
      <c r="F6" s="4">
        <f>SUM(F12:F25)</f>
        <v>800</v>
      </c>
      <c r="G6" s="10"/>
      <c r="I6" s="17">
        <v>1003</v>
      </c>
      <c r="J6" s="18" t="s">
        <v>50</v>
      </c>
      <c r="K6" s="18">
        <v>80</v>
      </c>
      <c r="L6" s="19">
        <v>1</v>
      </c>
    </row>
    <row r="7" spans="2:12" x14ac:dyDescent="0.35">
      <c r="B7" s="9"/>
      <c r="G7" s="10"/>
    </row>
    <row r="8" spans="2:12" x14ac:dyDescent="0.35">
      <c r="B8" s="9"/>
      <c r="C8" s="54" t="s">
        <v>45</v>
      </c>
      <c r="D8" s="55"/>
      <c r="E8" s="55"/>
      <c r="F8" s="56"/>
      <c r="G8" s="10"/>
    </row>
    <row r="9" spans="2:12" x14ac:dyDescent="0.35">
      <c r="B9" s="9"/>
      <c r="C9" s="9" t="s">
        <v>63</v>
      </c>
      <c r="F9" s="10"/>
      <c r="G9" s="10"/>
    </row>
    <row r="10" spans="2:12" ht="15" thickBot="1" x14ac:dyDescent="0.4">
      <c r="B10" s="9"/>
      <c r="C10" s="9"/>
      <c r="F10" s="10"/>
      <c r="G10" s="10"/>
      <c r="I10" s="15" t="s">
        <v>38</v>
      </c>
    </row>
    <row r="11" spans="2:12" ht="15" thickBot="1" x14ac:dyDescent="0.4">
      <c r="B11" s="9"/>
      <c r="C11" s="38" t="s">
        <v>46</v>
      </c>
      <c r="D11" s="38" t="s">
        <v>17</v>
      </c>
      <c r="E11" s="38" t="s">
        <v>6</v>
      </c>
      <c r="F11" s="39" t="s">
        <v>18</v>
      </c>
      <c r="G11" s="10"/>
      <c r="I11" s="15" t="s">
        <v>39</v>
      </c>
    </row>
    <row r="12" spans="2:12" x14ac:dyDescent="0.35">
      <c r="B12" s="9"/>
      <c r="C12" s="14">
        <f>I4</f>
        <v>1001</v>
      </c>
      <c r="D12" s="15">
        <v>2</v>
      </c>
      <c r="E12" s="15">
        <f>VLOOKUP(C12,I$4:$L$6,3,0)</f>
        <v>100</v>
      </c>
      <c r="F12" s="16">
        <f>D12*E12</f>
        <v>200</v>
      </c>
      <c r="G12" s="10"/>
      <c r="I12" s="15" t="s">
        <v>62</v>
      </c>
    </row>
    <row r="13" spans="2:12" x14ac:dyDescent="0.35">
      <c r="B13" s="9"/>
      <c r="C13" s="14">
        <v>1003</v>
      </c>
      <c r="D13" s="15">
        <v>5</v>
      </c>
      <c r="E13" s="15">
        <f>VLOOKUP(C13,I$4:$L$6,3,0)</f>
        <v>80</v>
      </c>
      <c r="F13" s="16">
        <f t="shared" ref="F13:F14" si="0">D13*E13</f>
        <v>400</v>
      </c>
      <c r="G13" s="10"/>
    </row>
    <row r="14" spans="2:12" x14ac:dyDescent="0.35">
      <c r="B14" s="9"/>
      <c r="C14" s="14">
        <v>1001</v>
      </c>
      <c r="D14" s="15">
        <v>2</v>
      </c>
      <c r="E14" s="15">
        <f>VLOOKUP(C14,I$4:$L$6,3,0)</f>
        <v>100</v>
      </c>
      <c r="F14" s="16">
        <f t="shared" si="0"/>
        <v>200</v>
      </c>
      <c r="G14" s="10"/>
    </row>
    <row r="15" spans="2:12" x14ac:dyDescent="0.35">
      <c r="B15" s="9"/>
      <c r="C15" s="14"/>
      <c r="D15" s="15"/>
      <c r="E15" s="15" t="e">
        <f>VLOOKUP(C15,I$4:$L$6,3,0)</f>
        <v>#N/A</v>
      </c>
      <c r="F15" s="16">
        <f>IFERROR(D15*E15,0)</f>
        <v>0</v>
      </c>
      <c r="G15" s="10"/>
    </row>
    <row r="16" spans="2:12" x14ac:dyDescent="0.35">
      <c r="B16" s="9"/>
      <c r="C16" s="14"/>
      <c r="D16" s="15"/>
      <c r="E16" s="15" t="e">
        <f>VLOOKUP(C16,I$4:$L$6,3,0)</f>
        <v>#N/A</v>
      </c>
      <c r="F16" s="16">
        <f t="shared" ref="F16:F25" si="1">IFERROR(D16*E16,0)</f>
        <v>0</v>
      </c>
      <c r="G16" s="10"/>
    </row>
    <row r="17" spans="2:7" x14ac:dyDescent="0.35">
      <c r="B17" s="9"/>
      <c r="C17" s="14"/>
      <c r="D17" s="15"/>
      <c r="E17" s="15" t="e">
        <f>VLOOKUP(C17,I$4:$L$6,3,0)</f>
        <v>#N/A</v>
      </c>
      <c r="F17" s="16">
        <f t="shared" si="1"/>
        <v>0</v>
      </c>
      <c r="G17" s="10"/>
    </row>
    <row r="18" spans="2:7" x14ac:dyDescent="0.35">
      <c r="B18" s="9"/>
      <c r="C18" s="14"/>
      <c r="D18" s="15"/>
      <c r="E18" s="15" t="e">
        <f>VLOOKUP(C18,I$4:$L$6,3,0)</f>
        <v>#N/A</v>
      </c>
      <c r="F18" s="16">
        <f t="shared" si="1"/>
        <v>0</v>
      </c>
      <c r="G18" s="10"/>
    </row>
    <row r="19" spans="2:7" x14ac:dyDescent="0.35">
      <c r="B19" s="9"/>
      <c r="C19" s="14"/>
      <c r="D19" s="15"/>
      <c r="E19" s="15" t="e">
        <f>VLOOKUP(C19,I$4:$L$6,3,0)</f>
        <v>#N/A</v>
      </c>
      <c r="F19" s="16">
        <f t="shared" si="1"/>
        <v>0</v>
      </c>
      <c r="G19" s="10"/>
    </row>
    <row r="20" spans="2:7" x14ac:dyDescent="0.35">
      <c r="B20" s="9"/>
      <c r="C20" s="14"/>
      <c r="D20" s="15"/>
      <c r="E20" s="15" t="e">
        <f>VLOOKUP(C20,I$4:$L$6,3,0)</f>
        <v>#N/A</v>
      </c>
      <c r="F20" s="16">
        <f t="shared" si="1"/>
        <v>0</v>
      </c>
      <c r="G20" s="10"/>
    </row>
    <row r="21" spans="2:7" x14ac:dyDescent="0.35">
      <c r="B21" s="9"/>
      <c r="C21" s="14"/>
      <c r="D21" s="15"/>
      <c r="E21" s="15" t="e">
        <f>VLOOKUP(C21,I$4:$L$6,3,0)</f>
        <v>#N/A</v>
      </c>
      <c r="F21" s="16">
        <f t="shared" si="1"/>
        <v>0</v>
      </c>
      <c r="G21" s="10"/>
    </row>
    <row r="22" spans="2:7" x14ac:dyDescent="0.35">
      <c r="B22" s="9"/>
      <c r="C22" s="14"/>
      <c r="D22" s="15"/>
      <c r="E22" s="15" t="e">
        <f>VLOOKUP(C22,I$4:$L$6,3,0)</f>
        <v>#N/A</v>
      </c>
      <c r="F22" s="16">
        <f t="shared" si="1"/>
        <v>0</v>
      </c>
      <c r="G22" s="10"/>
    </row>
    <row r="23" spans="2:7" x14ac:dyDescent="0.35">
      <c r="B23" s="9"/>
      <c r="C23" s="14"/>
      <c r="D23" s="15"/>
      <c r="E23" s="15" t="e">
        <f>VLOOKUP(C23,I$4:$L$6,3,0)</f>
        <v>#N/A</v>
      </c>
      <c r="F23" s="16">
        <f t="shared" si="1"/>
        <v>0</v>
      </c>
      <c r="G23" s="10"/>
    </row>
    <row r="24" spans="2:7" x14ac:dyDescent="0.35">
      <c r="B24" s="9"/>
      <c r="C24" s="14"/>
      <c r="D24" s="15"/>
      <c r="E24" s="15" t="e">
        <f>VLOOKUP(C24,I$4:$L$6,3,0)</f>
        <v>#N/A</v>
      </c>
      <c r="F24" s="16">
        <f t="shared" si="1"/>
        <v>0</v>
      </c>
      <c r="G24" s="10"/>
    </row>
    <row r="25" spans="2:7" x14ac:dyDescent="0.35">
      <c r="B25" s="9"/>
      <c r="C25" s="17"/>
      <c r="D25" s="18"/>
      <c r="E25" s="18" t="e">
        <f>VLOOKUP(C25,I$4:$L$6,3,0)</f>
        <v>#N/A</v>
      </c>
      <c r="F25" s="16">
        <f t="shared" si="1"/>
        <v>0</v>
      </c>
      <c r="G25" s="10"/>
    </row>
    <row r="26" spans="2:7" x14ac:dyDescent="0.35">
      <c r="B26" s="11"/>
      <c r="C26" s="12"/>
      <c r="D26" s="12"/>
      <c r="E26" s="12"/>
      <c r="F26" s="12"/>
      <c r="G26" s="13"/>
    </row>
    <row r="29" spans="2:7" x14ac:dyDescent="0.35">
      <c r="C29" t="s">
        <v>61</v>
      </c>
    </row>
    <row r="30" spans="2:7" x14ac:dyDescent="0.35">
      <c r="C30" t="s">
        <v>60</v>
      </c>
    </row>
    <row r="31" spans="2:7" x14ac:dyDescent="0.35">
      <c r="C31" t="s">
        <v>59</v>
      </c>
    </row>
  </sheetData>
  <mergeCells count="3">
    <mergeCell ref="B2:G2"/>
    <mergeCell ref="C8:F8"/>
    <mergeCell ref="I2:L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548E4-0317-454C-9FCF-0A36B8E95F8C}">
  <dimension ref="A1:A64"/>
  <sheetViews>
    <sheetView workbookViewId="0">
      <selection activeCell="H13" sqref="H13"/>
    </sheetView>
  </sheetViews>
  <sheetFormatPr baseColWidth="10" defaultRowHeight="14.5" x14ac:dyDescent="0.35"/>
  <sheetData>
    <row r="1" spans="1:1" x14ac:dyDescent="0.35">
      <c r="A1" t="s">
        <v>52</v>
      </c>
    </row>
    <row r="2" spans="1:1" x14ac:dyDescent="0.35">
      <c r="A2" t="s">
        <v>57</v>
      </c>
    </row>
    <row r="16" spans="1:1" x14ac:dyDescent="0.35">
      <c r="A16" t="s">
        <v>53</v>
      </c>
    </row>
    <row r="30" spans="1:1" x14ac:dyDescent="0.35">
      <c r="A30" t="s">
        <v>54</v>
      </c>
    </row>
    <row r="48" spans="1:1" x14ac:dyDescent="0.35">
      <c r="A48" t="s">
        <v>55</v>
      </c>
    </row>
    <row r="64" spans="1:1" x14ac:dyDescent="0.35">
      <c r="A64" t="s">
        <v>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Modelado</vt:lpstr>
      <vt:lpstr>Ejemplo</vt:lpstr>
      <vt:lpstr>Bitacora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Trinidad Ríos Bonilla</dc:creator>
  <cp:lastModifiedBy>Jose Rios</cp:lastModifiedBy>
  <dcterms:created xsi:type="dcterms:W3CDTF">2026-08-05T19:21:13Z</dcterms:created>
  <dcterms:modified xsi:type="dcterms:W3CDTF">2026-08-25T05:17:41Z</dcterms:modified>
</cp:coreProperties>
</file>