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jl8\OneDrive\Escritorio\c#\ProyectoIntegrador\"/>
    </mc:Choice>
  </mc:AlternateContent>
  <xr:revisionPtr revIDLastSave="0" documentId="13_ncr:1_{1AC86065-0433-4DA2-BF2E-06B602E0AC27}" xr6:coauthVersionLast="47" xr6:coauthVersionMax="47" xr10:uidLastSave="{00000000-0000-0000-0000-000000000000}"/>
  <bookViews>
    <workbookView xWindow="-110" yWindow="-110" windowWidth="19420" windowHeight="10300" xr2:uid="{68E3ABBE-551F-42E9-A2D4-74F9B47131F6}"/>
  </bookViews>
  <sheets>
    <sheet name="Modelado" sheetId="1" r:id="rId1"/>
    <sheet name="Ejemplo" sheetId="2" r:id="rId2"/>
    <sheet name="Bitacora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2" l="1"/>
  <c r="F25" i="2" s="1"/>
  <c r="E24" i="2"/>
  <c r="F24" i="2" s="1"/>
  <c r="E23" i="2"/>
  <c r="F23" i="2" s="1"/>
  <c r="E22" i="2"/>
  <c r="F22" i="2" s="1"/>
  <c r="E21" i="2"/>
  <c r="F21" i="2" s="1"/>
  <c r="E20" i="2"/>
  <c r="F20" i="2" s="1"/>
  <c r="E19" i="2"/>
  <c r="F19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2" i="2"/>
  <c r="F12" i="2" s="1"/>
  <c r="C12" i="2"/>
  <c r="H25" i="1"/>
  <c r="H24" i="1"/>
  <c r="H23" i="1"/>
  <c r="F6" i="2" l="1"/>
</calcChain>
</file>

<file path=xl/sharedStrings.xml><?xml version="1.0" encoding="utf-8"?>
<sst xmlns="http://schemas.openxmlformats.org/spreadsheetml/2006/main" count="83" uniqueCount="57">
  <si>
    <t>Producto</t>
  </si>
  <si>
    <t>Solicitud de compra</t>
  </si>
  <si>
    <t>Id</t>
  </si>
  <si>
    <t>Código</t>
  </si>
  <si>
    <t>Descripción</t>
  </si>
  <si>
    <t>Precio</t>
  </si>
  <si>
    <t>Precio de referencia</t>
  </si>
  <si>
    <t>Activo</t>
  </si>
  <si>
    <t>Folio</t>
  </si>
  <si>
    <t>Solicitante</t>
  </si>
  <si>
    <t>Fecha</t>
  </si>
  <si>
    <t>Estado</t>
  </si>
  <si>
    <t>Observaciones</t>
  </si>
  <si>
    <t>Total</t>
  </si>
  <si>
    <t>SolicituCompraDetalle</t>
  </si>
  <si>
    <t>Solicitud</t>
  </si>
  <si>
    <t>Cantidad</t>
  </si>
  <si>
    <t>Subtotal</t>
  </si>
  <si>
    <t>José</t>
  </si>
  <si>
    <t>Productos</t>
  </si>
  <si>
    <t>Borrador</t>
  </si>
  <si>
    <t>Espera de autorización</t>
  </si>
  <si>
    <t>SolicutudCompraDetalle</t>
  </si>
  <si>
    <t>Enviada</t>
  </si>
  <si>
    <t>Entrega Inmediata</t>
  </si>
  <si>
    <t>1 : N</t>
  </si>
  <si>
    <t xml:space="preserve">Ejemplo de modelado de base de datos. </t>
  </si>
  <si>
    <t>Ejemplo de proceso de una solicitud</t>
  </si>
  <si>
    <t>Guardar</t>
  </si>
  <si>
    <t>Enviar</t>
  </si>
  <si>
    <t>cancelar</t>
  </si>
  <si>
    <t>Diagrama de estado.</t>
  </si>
  <si>
    <t>Observaciónes</t>
  </si>
  <si>
    <t xml:space="preserve">  </t>
  </si>
  <si>
    <t xml:space="preserve"> </t>
  </si>
  <si>
    <t>SolicitudCompraDetalle</t>
  </si>
  <si>
    <t>CodigoProducto</t>
  </si>
  <si>
    <t>PrecioReferencia</t>
  </si>
  <si>
    <t>José R.</t>
  </si>
  <si>
    <t>En espera de autorización</t>
  </si>
  <si>
    <t>Editar</t>
  </si>
  <si>
    <t>Desiciones.</t>
  </si>
  <si>
    <t>Problemas</t>
  </si>
  <si>
    <t>Antoni</t>
  </si>
  <si>
    <t>Al enviar la solicitud, se debe cambiar el estado a "Enviado" y no permitir modificar la solicitud.</t>
  </si>
  <si>
    <t>Al cancelar la solicitud, se debe cambiarl es estado a "Cancelado" y no permitir modificar la solicitud</t>
  </si>
  <si>
    <t>Al crear la solicitud, va a nacer con el estado "Borrador", validar que el detalle tenga algún producto para que permita guardar</t>
  </si>
  <si>
    <t>Cancelar</t>
  </si>
  <si>
    <t xml:space="preserve">CodigoSolicitud =1 </t>
  </si>
  <si>
    <t>Dudas</t>
  </si>
  <si>
    <t>En las plantillas de las entidades se utilizan los metodos de acceso o solo se dejan las propiedades publicas?</t>
  </si>
  <si>
    <t>Eliminación lógica para mantener el historial de registros de solicitudes y productos que se solicitaron.</t>
  </si>
  <si>
    <t>Producto 1</t>
  </si>
  <si>
    <t>Producto 2</t>
  </si>
  <si>
    <t>Producto 3</t>
  </si>
  <si>
    <t>Produco 3</t>
  </si>
  <si>
    <t>No debe permitir agregarlo.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</si>
</sst>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quotePrefix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0" fontId="0" fillId="0" borderId="0" xfId="0" applyNumberFormat="1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5" fontId="0" fillId="0" borderId="1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1" fillId="2" borderId="0" xfId="0" applyFont="1" applyFill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1" xfId="0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5</xdr:row>
      <xdr:rowOff>57150</xdr:rowOff>
    </xdr:from>
    <xdr:to>
      <xdr:col>1</xdr:col>
      <xdr:colOff>200025</xdr:colOff>
      <xdr:row>5</xdr:row>
      <xdr:rowOff>142875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D7E60004-9A5B-A403-04B7-604DCE69AEA8}"/>
            </a:ext>
          </a:extLst>
        </xdr:cNvPr>
        <xdr:cNvSpPr/>
      </xdr:nvSpPr>
      <xdr:spPr>
        <a:xfrm>
          <a:off x="819150" y="819150"/>
          <a:ext cx="142875" cy="85725"/>
        </a:xfrm>
        <a:prstGeom prst="ellipse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66675</xdr:colOff>
      <xdr:row>7</xdr:row>
      <xdr:rowOff>57150</xdr:rowOff>
    </xdr:from>
    <xdr:to>
      <xdr:col>1</xdr:col>
      <xdr:colOff>209550</xdr:colOff>
      <xdr:row>7</xdr:row>
      <xdr:rowOff>142875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FA4EF9BF-C229-41FC-9271-C1661B29B442}"/>
            </a:ext>
          </a:extLst>
        </xdr:cNvPr>
        <xdr:cNvSpPr/>
      </xdr:nvSpPr>
      <xdr:spPr>
        <a:xfrm>
          <a:off x="828675" y="1200150"/>
          <a:ext cx="142875" cy="85725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s-MX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66675</xdr:colOff>
      <xdr:row>8</xdr:row>
      <xdr:rowOff>57150</xdr:rowOff>
    </xdr:from>
    <xdr:to>
      <xdr:col>1</xdr:col>
      <xdr:colOff>209550</xdr:colOff>
      <xdr:row>8</xdr:row>
      <xdr:rowOff>142875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E85810B5-6ADD-4244-BF2D-A3467636CF01}"/>
            </a:ext>
          </a:extLst>
        </xdr:cNvPr>
        <xdr:cNvSpPr/>
      </xdr:nvSpPr>
      <xdr:spPr>
        <a:xfrm>
          <a:off x="828675" y="1390650"/>
          <a:ext cx="142875" cy="857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66675</xdr:colOff>
      <xdr:row>9</xdr:row>
      <xdr:rowOff>57150</xdr:rowOff>
    </xdr:from>
    <xdr:to>
      <xdr:col>1</xdr:col>
      <xdr:colOff>209550</xdr:colOff>
      <xdr:row>9</xdr:row>
      <xdr:rowOff>142875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EE861096-AE11-41CE-8FF2-80ACEE408A14}"/>
            </a:ext>
          </a:extLst>
        </xdr:cNvPr>
        <xdr:cNvSpPr/>
      </xdr:nvSpPr>
      <xdr:spPr>
        <a:xfrm>
          <a:off x="828675" y="1581150"/>
          <a:ext cx="142875" cy="857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66675</xdr:colOff>
      <xdr:row>10</xdr:row>
      <xdr:rowOff>57150</xdr:rowOff>
    </xdr:from>
    <xdr:to>
      <xdr:col>1</xdr:col>
      <xdr:colOff>209550</xdr:colOff>
      <xdr:row>10</xdr:row>
      <xdr:rowOff>142875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8FB3B9B8-F97D-4A02-976B-1C033AD7CFCB}"/>
            </a:ext>
          </a:extLst>
        </xdr:cNvPr>
        <xdr:cNvSpPr/>
      </xdr:nvSpPr>
      <xdr:spPr>
        <a:xfrm>
          <a:off x="828675" y="1771650"/>
          <a:ext cx="142875" cy="857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66675</xdr:colOff>
      <xdr:row>11</xdr:row>
      <xdr:rowOff>57150</xdr:rowOff>
    </xdr:from>
    <xdr:to>
      <xdr:col>1</xdr:col>
      <xdr:colOff>209550</xdr:colOff>
      <xdr:row>11</xdr:row>
      <xdr:rowOff>142875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6A3600B4-D984-4D38-B71E-E43F78D700C6}"/>
            </a:ext>
          </a:extLst>
        </xdr:cNvPr>
        <xdr:cNvSpPr/>
      </xdr:nvSpPr>
      <xdr:spPr>
        <a:xfrm>
          <a:off x="828675" y="1962150"/>
          <a:ext cx="142875" cy="857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66675</xdr:colOff>
      <xdr:row>5</xdr:row>
      <xdr:rowOff>66675</xdr:rowOff>
    </xdr:from>
    <xdr:to>
      <xdr:col>7</xdr:col>
      <xdr:colOff>209550</xdr:colOff>
      <xdr:row>5</xdr:row>
      <xdr:rowOff>152400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1ED3B9F1-3D19-48F5-B9BB-B20E95D806BA}"/>
            </a:ext>
          </a:extLst>
        </xdr:cNvPr>
        <xdr:cNvSpPr/>
      </xdr:nvSpPr>
      <xdr:spPr>
        <a:xfrm>
          <a:off x="5619750" y="828675"/>
          <a:ext cx="142875" cy="85725"/>
        </a:xfrm>
        <a:prstGeom prst="ellipse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66675</xdr:colOff>
      <xdr:row>6</xdr:row>
      <xdr:rowOff>66675</xdr:rowOff>
    </xdr:from>
    <xdr:to>
      <xdr:col>3</xdr:col>
      <xdr:colOff>209550</xdr:colOff>
      <xdr:row>6</xdr:row>
      <xdr:rowOff>152400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0FA1999E-B474-4F50-B532-5FD51632DF13}"/>
            </a:ext>
          </a:extLst>
        </xdr:cNvPr>
        <xdr:cNvSpPr/>
      </xdr:nvSpPr>
      <xdr:spPr>
        <a:xfrm>
          <a:off x="2962275" y="1019175"/>
          <a:ext cx="142875" cy="85725"/>
        </a:xfrm>
        <a:prstGeom prst="ellipse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66675</xdr:colOff>
      <xdr:row>7</xdr:row>
      <xdr:rowOff>57150</xdr:rowOff>
    </xdr:from>
    <xdr:to>
      <xdr:col>3</xdr:col>
      <xdr:colOff>209550</xdr:colOff>
      <xdr:row>7</xdr:row>
      <xdr:rowOff>142875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C03FF6D8-3FB3-4D68-9F1D-39224C43B0DA}"/>
            </a:ext>
          </a:extLst>
        </xdr:cNvPr>
        <xdr:cNvSpPr/>
      </xdr:nvSpPr>
      <xdr:spPr>
        <a:xfrm>
          <a:off x="2962275" y="1200150"/>
          <a:ext cx="142875" cy="85725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76200</xdr:colOff>
      <xdr:row>8</xdr:row>
      <xdr:rowOff>57150</xdr:rowOff>
    </xdr:from>
    <xdr:to>
      <xdr:col>3</xdr:col>
      <xdr:colOff>219075</xdr:colOff>
      <xdr:row>8</xdr:row>
      <xdr:rowOff>142875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D2F6544B-7746-4802-BB6E-14A0D1074E02}"/>
            </a:ext>
          </a:extLst>
        </xdr:cNvPr>
        <xdr:cNvSpPr/>
      </xdr:nvSpPr>
      <xdr:spPr>
        <a:xfrm>
          <a:off x="2971800" y="1390650"/>
          <a:ext cx="142875" cy="85725"/>
        </a:xfrm>
        <a:prstGeom prst="ellipse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76200</xdr:colOff>
      <xdr:row>9</xdr:row>
      <xdr:rowOff>47625</xdr:rowOff>
    </xdr:from>
    <xdr:to>
      <xdr:col>3</xdr:col>
      <xdr:colOff>219075</xdr:colOff>
      <xdr:row>9</xdr:row>
      <xdr:rowOff>133350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0F4C8A30-B3E2-475D-B0F7-4874E77822D5}"/>
            </a:ext>
          </a:extLst>
        </xdr:cNvPr>
        <xdr:cNvSpPr/>
      </xdr:nvSpPr>
      <xdr:spPr>
        <a:xfrm>
          <a:off x="2971800" y="1571625"/>
          <a:ext cx="142875" cy="857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66675</xdr:colOff>
      <xdr:row>10</xdr:row>
      <xdr:rowOff>57150</xdr:rowOff>
    </xdr:from>
    <xdr:to>
      <xdr:col>3</xdr:col>
      <xdr:colOff>209550</xdr:colOff>
      <xdr:row>10</xdr:row>
      <xdr:rowOff>142875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CF6FFACF-55E4-40AF-A8B9-21AB552A24B6}"/>
            </a:ext>
          </a:extLst>
        </xdr:cNvPr>
        <xdr:cNvSpPr/>
      </xdr:nvSpPr>
      <xdr:spPr>
        <a:xfrm>
          <a:off x="2962275" y="1771650"/>
          <a:ext cx="142875" cy="857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76200</xdr:colOff>
      <xdr:row>11</xdr:row>
      <xdr:rowOff>57150</xdr:rowOff>
    </xdr:from>
    <xdr:to>
      <xdr:col>3</xdr:col>
      <xdr:colOff>219075</xdr:colOff>
      <xdr:row>11</xdr:row>
      <xdr:rowOff>142875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89725C3A-DBBD-4E0E-9C3E-80B273EACB47}"/>
            </a:ext>
          </a:extLst>
        </xdr:cNvPr>
        <xdr:cNvSpPr/>
      </xdr:nvSpPr>
      <xdr:spPr>
        <a:xfrm>
          <a:off x="2971800" y="1962150"/>
          <a:ext cx="142875" cy="857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76200</xdr:colOff>
      <xdr:row>7</xdr:row>
      <xdr:rowOff>57150</xdr:rowOff>
    </xdr:from>
    <xdr:to>
      <xdr:col>7</xdr:col>
      <xdr:colOff>219075</xdr:colOff>
      <xdr:row>7</xdr:row>
      <xdr:rowOff>142875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8F1C871F-8652-4593-8AEC-2BD0981265D3}"/>
            </a:ext>
          </a:extLst>
        </xdr:cNvPr>
        <xdr:cNvSpPr/>
      </xdr:nvSpPr>
      <xdr:spPr>
        <a:xfrm>
          <a:off x="5629275" y="1200150"/>
          <a:ext cx="142875" cy="857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76200</xdr:colOff>
      <xdr:row>8</xdr:row>
      <xdr:rowOff>66675</xdr:rowOff>
    </xdr:from>
    <xdr:to>
      <xdr:col>7</xdr:col>
      <xdr:colOff>219075</xdr:colOff>
      <xdr:row>8</xdr:row>
      <xdr:rowOff>152400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DF4ECE58-722A-47D2-B07A-65B9601EFBFC}"/>
            </a:ext>
          </a:extLst>
        </xdr:cNvPr>
        <xdr:cNvSpPr/>
      </xdr:nvSpPr>
      <xdr:spPr>
        <a:xfrm>
          <a:off x="5629275" y="1400175"/>
          <a:ext cx="142875" cy="857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76200</xdr:colOff>
      <xdr:row>9</xdr:row>
      <xdr:rowOff>66675</xdr:rowOff>
    </xdr:from>
    <xdr:to>
      <xdr:col>7</xdr:col>
      <xdr:colOff>219075</xdr:colOff>
      <xdr:row>9</xdr:row>
      <xdr:rowOff>152400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474DC344-C49E-4E04-A72C-69B3FE1141EC}"/>
            </a:ext>
          </a:extLst>
        </xdr:cNvPr>
        <xdr:cNvSpPr/>
      </xdr:nvSpPr>
      <xdr:spPr>
        <a:xfrm>
          <a:off x="5629275" y="1590675"/>
          <a:ext cx="142875" cy="857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76200</xdr:colOff>
      <xdr:row>6</xdr:row>
      <xdr:rowOff>57150</xdr:rowOff>
    </xdr:from>
    <xdr:to>
      <xdr:col>7</xdr:col>
      <xdr:colOff>219075</xdr:colOff>
      <xdr:row>6</xdr:row>
      <xdr:rowOff>142875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5AAC1D6A-8E5E-47F8-BDB1-3C17BF086A6C}"/>
            </a:ext>
          </a:extLst>
        </xdr:cNvPr>
        <xdr:cNvSpPr/>
      </xdr:nvSpPr>
      <xdr:spPr>
        <a:xfrm>
          <a:off x="5629275" y="1009650"/>
          <a:ext cx="142875" cy="85725"/>
        </a:xfrm>
        <a:prstGeom prst="ellipse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66675</xdr:colOff>
      <xdr:row>6</xdr:row>
      <xdr:rowOff>66675</xdr:rowOff>
    </xdr:from>
    <xdr:to>
      <xdr:col>1</xdr:col>
      <xdr:colOff>209550</xdr:colOff>
      <xdr:row>6</xdr:row>
      <xdr:rowOff>152400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98184E41-9248-4DDA-BB5B-0D3776607304}"/>
            </a:ext>
          </a:extLst>
        </xdr:cNvPr>
        <xdr:cNvSpPr/>
      </xdr:nvSpPr>
      <xdr:spPr>
        <a:xfrm>
          <a:off x="828675" y="1019175"/>
          <a:ext cx="142875" cy="85725"/>
        </a:xfrm>
        <a:prstGeom prst="ellipse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390525</xdr:colOff>
      <xdr:row>13</xdr:row>
      <xdr:rowOff>114300</xdr:rowOff>
    </xdr:from>
    <xdr:to>
      <xdr:col>0</xdr:col>
      <xdr:colOff>714375</xdr:colOff>
      <xdr:row>13</xdr:row>
      <xdr:rowOff>114300</xdr:rowOff>
    </xdr:to>
    <xdr:cxnSp macro="">
      <xdr:nvCxnSpPr>
        <xdr:cNvPr id="44" name="Conector recto de flecha 43">
          <a:extLst>
            <a:ext uri="{FF2B5EF4-FFF2-40B4-BE49-F238E27FC236}">
              <a16:creationId xmlns:a16="http://schemas.microsoft.com/office/drawing/2014/main" id="{01FE8A4A-CE6E-E7A3-5D9D-1397F623E1D1}"/>
            </a:ext>
          </a:extLst>
        </xdr:cNvPr>
        <xdr:cNvCxnSpPr/>
      </xdr:nvCxnSpPr>
      <xdr:spPr>
        <a:xfrm>
          <a:off x="390525" y="297180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400545</xdr:colOff>
      <xdr:row>3</xdr:row>
      <xdr:rowOff>117145</xdr:rowOff>
    </xdr:from>
    <xdr:to>
      <xdr:col>0</xdr:col>
      <xdr:colOff>686295</xdr:colOff>
      <xdr:row>3</xdr:row>
      <xdr:rowOff>117145</xdr:rowOff>
    </xdr:to>
    <xdr:cxnSp macro="">
      <xdr:nvCxnSpPr>
        <xdr:cNvPr id="46" name="Conector recto 45">
          <a:extLst>
            <a:ext uri="{FF2B5EF4-FFF2-40B4-BE49-F238E27FC236}">
              <a16:creationId xmlns:a16="http://schemas.microsoft.com/office/drawing/2014/main" id="{76D1E98F-0A5F-6F3C-B9FD-49B468C34148}"/>
            </a:ext>
          </a:extLst>
        </xdr:cNvPr>
        <xdr:cNvCxnSpPr/>
      </xdr:nvCxnSpPr>
      <xdr:spPr>
        <a:xfrm flipH="1">
          <a:off x="400545" y="692356"/>
          <a:ext cx="285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1686719</xdr:colOff>
      <xdr:row>7</xdr:row>
      <xdr:rowOff>99219</xdr:rowOff>
    </xdr:from>
    <xdr:to>
      <xdr:col>3</xdr:col>
      <xdr:colOff>0</xdr:colOff>
      <xdr:row>7</xdr:row>
      <xdr:rowOff>109141</xdr:rowOff>
    </xdr:to>
    <xdr:cxnSp macro="">
      <xdr:nvCxnSpPr>
        <xdr:cNvPr id="50" name="Conector recto de flecha 49">
          <a:extLst>
            <a:ext uri="{FF2B5EF4-FFF2-40B4-BE49-F238E27FC236}">
              <a16:creationId xmlns:a16="http://schemas.microsoft.com/office/drawing/2014/main" id="{D77AD9AF-737B-8B39-4717-710BECC53284}"/>
            </a:ext>
          </a:extLst>
        </xdr:cNvPr>
        <xdr:cNvCxnSpPr/>
      </xdr:nvCxnSpPr>
      <xdr:spPr>
        <a:xfrm>
          <a:off x="2450703" y="2926953"/>
          <a:ext cx="793750" cy="99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</xdr:row>
      <xdr:rowOff>99218</xdr:rowOff>
    </xdr:from>
    <xdr:to>
      <xdr:col>7</xdr:col>
      <xdr:colOff>0</xdr:colOff>
      <xdr:row>8</xdr:row>
      <xdr:rowOff>109140</xdr:rowOff>
    </xdr:to>
    <xdr:cxnSp macro="">
      <xdr:nvCxnSpPr>
        <xdr:cNvPr id="52" name="Conector: angular 51">
          <a:extLst>
            <a:ext uri="{FF2B5EF4-FFF2-40B4-BE49-F238E27FC236}">
              <a16:creationId xmlns:a16="http://schemas.microsoft.com/office/drawing/2014/main" id="{3D937FFE-A32B-2209-96A1-F763EC4BD49E}"/>
            </a:ext>
          </a:extLst>
        </xdr:cNvPr>
        <xdr:cNvCxnSpPr/>
      </xdr:nvCxnSpPr>
      <xdr:spPr>
        <a:xfrm rot="10800000" flipV="1">
          <a:off x="5407422" y="2738437"/>
          <a:ext cx="783828" cy="38695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633334</xdr:colOff>
      <xdr:row>7</xdr:row>
      <xdr:rowOff>119064</xdr:rowOff>
    </xdr:from>
    <xdr:to>
      <xdr:col>11</xdr:col>
      <xdr:colOff>483062</xdr:colOff>
      <xdr:row>8</xdr:row>
      <xdr:rowOff>114103</xdr:rowOff>
    </xdr:to>
    <xdr:cxnSp macro="">
      <xdr:nvCxnSpPr>
        <xdr:cNvPr id="80" name="Conector: curvado 79">
          <a:extLst>
            <a:ext uri="{FF2B5EF4-FFF2-40B4-BE49-F238E27FC236}">
              <a16:creationId xmlns:a16="http://schemas.microsoft.com/office/drawing/2014/main" id="{486C0FB5-C7E1-686C-3F7D-19DC7959022F}"/>
            </a:ext>
          </a:extLst>
        </xdr:cNvPr>
        <xdr:cNvCxnSpPr>
          <a:stCxn id="55" idx="3"/>
          <a:endCxn id="55" idx="0"/>
        </xdr:cNvCxnSpPr>
      </xdr:nvCxnSpPr>
      <xdr:spPr>
        <a:xfrm flipH="1" flipV="1">
          <a:off x="10495678" y="1438673"/>
          <a:ext cx="613712" cy="183555"/>
        </a:xfrm>
        <a:prstGeom prst="curvedConnector4">
          <a:avLst>
            <a:gd name="adj1" fmla="val -37249"/>
            <a:gd name="adj2" fmla="val 224540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694532</xdr:colOff>
      <xdr:row>3</xdr:row>
      <xdr:rowOff>59531</xdr:rowOff>
    </xdr:from>
    <xdr:to>
      <xdr:col>13</xdr:col>
      <xdr:colOff>33340</xdr:colOff>
      <xdr:row>20</xdr:row>
      <xdr:rowOff>152400</xdr:rowOff>
    </xdr:to>
    <xdr:grpSp>
      <xdr:nvGrpSpPr>
        <xdr:cNvPr id="88" name="Grupo 87">
          <a:extLst>
            <a:ext uri="{FF2B5EF4-FFF2-40B4-BE49-F238E27FC236}">
              <a16:creationId xmlns:a16="http://schemas.microsoft.com/office/drawing/2014/main" id="{CB978E19-BB0C-6F00-301D-6893C566E736}"/>
            </a:ext>
          </a:extLst>
        </xdr:cNvPr>
        <xdr:cNvGrpSpPr/>
      </xdr:nvGrpSpPr>
      <xdr:grpSpPr>
        <a:xfrm>
          <a:off x="7099749" y="611705"/>
          <a:ext cx="2458591" cy="3231057"/>
          <a:chOff x="9423004" y="198437"/>
          <a:chExt cx="2655491" cy="3297635"/>
        </a:xfrm>
      </xdr:grpSpPr>
      <xdr:sp macro="" textlink="">
        <xdr:nvSpPr>
          <xdr:cNvPr id="54" name="Diagrama de flujo: conector 53">
            <a:extLst>
              <a:ext uri="{FF2B5EF4-FFF2-40B4-BE49-F238E27FC236}">
                <a16:creationId xmlns:a16="http://schemas.microsoft.com/office/drawing/2014/main" id="{1D152088-6686-E6F0-879E-95A9BC34738D}"/>
              </a:ext>
            </a:extLst>
          </xdr:cNvPr>
          <xdr:cNvSpPr/>
        </xdr:nvSpPr>
        <xdr:spPr>
          <a:xfrm>
            <a:off x="10497343" y="198437"/>
            <a:ext cx="267891" cy="238125"/>
          </a:xfrm>
          <a:prstGeom prst="flowChartConnector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55" name="Rectángulo: esquinas redondeadas 54" descr="asdf">
            <a:extLst>
              <a:ext uri="{FF2B5EF4-FFF2-40B4-BE49-F238E27FC236}">
                <a16:creationId xmlns:a16="http://schemas.microsoft.com/office/drawing/2014/main" id="{1BE11D87-376E-4396-57ED-2691D3428EDC}"/>
              </a:ext>
            </a:extLst>
          </xdr:cNvPr>
          <xdr:cNvSpPr/>
        </xdr:nvSpPr>
        <xdr:spPr>
          <a:xfrm>
            <a:off x="10140156" y="1012032"/>
            <a:ext cx="1031875" cy="367110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100"/>
              <a:t>Borrador</a:t>
            </a:r>
          </a:p>
        </xdr:txBody>
      </xdr:sp>
      <xdr:grpSp>
        <xdr:nvGrpSpPr>
          <xdr:cNvPr id="69" name="Grupo 68">
            <a:extLst>
              <a:ext uri="{FF2B5EF4-FFF2-40B4-BE49-F238E27FC236}">
                <a16:creationId xmlns:a16="http://schemas.microsoft.com/office/drawing/2014/main" id="{966091F8-216D-E85E-6803-7644EC24318B}"/>
              </a:ext>
            </a:extLst>
          </xdr:cNvPr>
          <xdr:cNvGrpSpPr/>
        </xdr:nvGrpSpPr>
        <xdr:grpSpPr>
          <a:xfrm>
            <a:off x="9723438" y="3075782"/>
            <a:ext cx="446484" cy="386953"/>
            <a:chOff x="10417969" y="3700859"/>
            <a:chExt cx="446484" cy="386953"/>
          </a:xfrm>
        </xdr:grpSpPr>
        <xdr:sp macro="" textlink="">
          <xdr:nvSpPr>
            <xdr:cNvPr id="61" name="Diagrama de flujo: conector 60">
              <a:extLst>
                <a:ext uri="{FF2B5EF4-FFF2-40B4-BE49-F238E27FC236}">
                  <a16:creationId xmlns:a16="http://schemas.microsoft.com/office/drawing/2014/main" id="{926B074E-8FE5-3E93-AE96-4D4BA4BBF02A}"/>
                </a:ext>
              </a:extLst>
            </xdr:cNvPr>
            <xdr:cNvSpPr/>
          </xdr:nvSpPr>
          <xdr:spPr>
            <a:xfrm>
              <a:off x="10417969" y="3700859"/>
              <a:ext cx="446484" cy="386953"/>
            </a:xfrm>
            <a:prstGeom prst="flowChartConnector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60" name="Diagrama de flujo: conector 59">
              <a:extLst>
                <a:ext uri="{FF2B5EF4-FFF2-40B4-BE49-F238E27FC236}">
                  <a16:creationId xmlns:a16="http://schemas.microsoft.com/office/drawing/2014/main" id="{7743E0EC-8281-4394-9798-8B6AF8E655FF}"/>
                </a:ext>
              </a:extLst>
            </xdr:cNvPr>
            <xdr:cNvSpPr/>
          </xdr:nvSpPr>
          <xdr:spPr>
            <a:xfrm>
              <a:off x="10507265" y="3770313"/>
              <a:ext cx="267891" cy="238125"/>
            </a:xfrm>
            <a:prstGeom prst="flowChartConnector">
              <a:avLst/>
            </a:prstGeom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</xdr:grpSp>
      <xdr:sp macro="" textlink="">
        <xdr:nvSpPr>
          <xdr:cNvPr id="62" name="Rectángulo: esquinas redondeadas 61" descr="asdf">
            <a:extLst>
              <a:ext uri="{FF2B5EF4-FFF2-40B4-BE49-F238E27FC236}">
                <a16:creationId xmlns:a16="http://schemas.microsoft.com/office/drawing/2014/main" id="{A9D9A905-95F5-4C7E-BCCE-7734F21F87D3}"/>
              </a:ext>
            </a:extLst>
          </xdr:cNvPr>
          <xdr:cNvSpPr/>
        </xdr:nvSpPr>
        <xdr:spPr>
          <a:xfrm>
            <a:off x="11046620" y="2027636"/>
            <a:ext cx="1031875" cy="367110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100"/>
              <a:t>Cancelado</a:t>
            </a:r>
          </a:p>
        </xdr:txBody>
      </xdr:sp>
      <xdr:sp macro="" textlink="">
        <xdr:nvSpPr>
          <xdr:cNvPr id="63" name="Rectángulo: esquinas redondeadas 62" descr="asdf">
            <a:extLst>
              <a:ext uri="{FF2B5EF4-FFF2-40B4-BE49-F238E27FC236}">
                <a16:creationId xmlns:a16="http://schemas.microsoft.com/office/drawing/2014/main" id="{C9501632-36DC-4764-B1FA-54CFBC9EFB88}"/>
              </a:ext>
            </a:extLst>
          </xdr:cNvPr>
          <xdr:cNvSpPr/>
        </xdr:nvSpPr>
        <xdr:spPr>
          <a:xfrm>
            <a:off x="9423004" y="1991519"/>
            <a:ext cx="1031875" cy="367110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100"/>
              <a:t>Enviado</a:t>
            </a:r>
          </a:p>
        </xdr:txBody>
      </xdr:sp>
      <xdr:cxnSp macro="">
        <xdr:nvCxnSpPr>
          <xdr:cNvPr id="65" name="Conector recto de flecha 64">
            <a:extLst>
              <a:ext uri="{FF2B5EF4-FFF2-40B4-BE49-F238E27FC236}">
                <a16:creationId xmlns:a16="http://schemas.microsoft.com/office/drawing/2014/main" id="{5918B1DB-2577-270E-0719-F7B608921499}"/>
              </a:ext>
            </a:extLst>
          </xdr:cNvPr>
          <xdr:cNvCxnSpPr>
            <a:stCxn id="54" idx="4"/>
            <a:endCxn id="55" idx="0"/>
          </xdr:cNvCxnSpPr>
        </xdr:nvCxnSpPr>
        <xdr:spPr>
          <a:xfrm>
            <a:off x="10631289" y="436562"/>
            <a:ext cx="24805" cy="57547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Conector recto de flecha 65">
            <a:extLst>
              <a:ext uri="{FF2B5EF4-FFF2-40B4-BE49-F238E27FC236}">
                <a16:creationId xmlns:a16="http://schemas.microsoft.com/office/drawing/2014/main" id="{CC0A2CFC-9953-49D1-AAFE-DA19F13DF593}"/>
              </a:ext>
            </a:extLst>
          </xdr:cNvPr>
          <xdr:cNvCxnSpPr>
            <a:stCxn id="55" idx="2"/>
            <a:endCxn id="62" idx="0"/>
          </xdr:cNvCxnSpPr>
        </xdr:nvCxnSpPr>
        <xdr:spPr>
          <a:xfrm>
            <a:off x="10656094" y="1379142"/>
            <a:ext cx="906464" cy="64849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Conector recto de flecha 67">
            <a:extLst>
              <a:ext uri="{FF2B5EF4-FFF2-40B4-BE49-F238E27FC236}">
                <a16:creationId xmlns:a16="http://schemas.microsoft.com/office/drawing/2014/main" id="{DE10B12A-3849-4108-A229-50E7D32C84D7}"/>
              </a:ext>
            </a:extLst>
          </xdr:cNvPr>
          <xdr:cNvCxnSpPr>
            <a:stCxn id="55" idx="2"/>
            <a:endCxn id="63" idx="0"/>
          </xdr:cNvCxnSpPr>
        </xdr:nvCxnSpPr>
        <xdr:spPr>
          <a:xfrm flipH="1">
            <a:off x="9938942" y="1379142"/>
            <a:ext cx="717152" cy="612377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" name="Conector recto de flecha 71">
            <a:extLst>
              <a:ext uri="{FF2B5EF4-FFF2-40B4-BE49-F238E27FC236}">
                <a16:creationId xmlns:a16="http://schemas.microsoft.com/office/drawing/2014/main" id="{AC79870F-1CF9-401C-9B4D-C673DC5DC6A7}"/>
              </a:ext>
            </a:extLst>
          </xdr:cNvPr>
          <xdr:cNvCxnSpPr>
            <a:endCxn id="61" idx="0"/>
          </xdr:cNvCxnSpPr>
        </xdr:nvCxnSpPr>
        <xdr:spPr>
          <a:xfrm>
            <a:off x="9920486" y="2355056"/>
            <a:ext cx="26194" cy="72072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84" name="Grupo 83">
            <a:extLst>
              <a:ext uri="{FF2B5EF4-FFF2-40B4-BE49-F238E27FC236}">
                <a16:creationId xmlns:a16="http://schemas.microsoft.com/office/drawing/2014/main" id="{77E4158B-3B31-4D23-AB80-BA73FC8D6AC2}"/>
              </a:ext>
            </a:extLst>
          </xdr:cNvPr>
          <xdr:cNvGrpSpPr/>
        </xdr:nvGrpSpPr>
        <xdr:grpSpPr>
          <a:xfrm>
            <a:off x="11383963" y="3109119"/>
            <a:ext cx="446484" cy="386953"/>
            <a:chOff x="10417969" y="3700859"/>
            <a:chExt cx="446484" cy="386953"/>
          </a:xfrm>
        </xdr:grpSpPr>
        <xdr:sp macro="" textlink="">
          <xdr:nvSpPr>
            <xdr:cNvPr id="85" name="Diagrama de flujo: conector 84">
              <a:extLst>
                <a:ext uri="{FF2B5EF4-FFF2-40B4-BE49-F238E27FC236}">
                  <a16:creationId xmlns:a16="http://schemas.microsoft.com/office/drawing/2014/main" id="{8F703114-1072-FC8F-166C-7344EA0063FE}"/>
                </a:ext>
              </a:extLst>
            </xdr:cNvPr>
            <xdr:cNvSpPr/>
          </xdr:nvSpPr>
          <xdr:spPr>
            <a:xfrm>
              <a:off x="10417969" y="3700859"/>
              <a:ext cx="446484" cy="386953"/>
            </a:xfrm>
            <a:prstGeom prst="flowChartConnector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86" name="Diagrama de flujo: conector 85">
              <a:extLst>
                <a:ext uri="{FF2B5EF4-FFF2-40B4-BE49-F238E27FC236}">
                  <a16:creationId xmlns:a16="http://schemas.microsoft.com/office/drawing/2014/main" id="{9F0B6EC9-2E72-3EAF-9C5B-061C263DC966}"/>
                </a:ext>
              </a:extLst>
            </xdr:cNvPr>
            <xdr:cNvSpPr/>
          </xdr:nvSpPr>
          <xdr:spPr>
            <a:xfrm>
              <a:off x="10507265" y="3770313"/>
              <a:ext cx="267891" cy="238125"/>
            </a:xfrm>
            <a:prstGeom prst="flowChartConnector">
              <a:avLst/>
            </a:prstGeom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</xdr:grpSp>
      <xdr:cxnSp macro="">
        <xdr:nvCxnSpPr>
          <xdr:cNvPr id="87" name="Conector recto de flecha 86">
            <a:extLst>
              <a:ext uri="{FF2B5EF4-FFF2-40B4-BE49-F238E27FC236}">
                <a16:creationId xmlns:a16="http://schemas.microsoft.com/office/drawing/2014/main" id="{FA990D3A-D738-4DD9-8132-47969DBD7ADC}"/>
              </a:ext>
            </a:extLst>
          </xdr:cNvPr>
          <xdr:cNvCxnSpPr>
            <a:endCxn id="85" idx="0"/>
          </xdr:cNvCxnSpPr>
        </xdr:nvCxnSpPr>
        <xdr:spPr>
          <a:xfrm>
            <a:off x="11581011" y="2388393"/>
            <a:ext cx="26194" cy="72072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242F-32E8-4E6D-97FF-65153A928838}">
  <dimension ref="A2:M42"/>
  <sheetViews>
    <sheetView tabSelected="1" topLeftCell="A7" zoomScale="69" workbookViewId="0">
      <selection activeCell="G12" sqref="G12"/>
    </sheetView>
  </sheetViews>
  <sheetFormatPr baseColWidth="10" defaultRowHeight="14.5" x14ac:dyDescent="0.35"/>
  <cols>
    <col min="1" max="1" width="5" bestFit="1" customWidth="1"/>
    <col min="2" max="2" width="17.36328125" bestFit="1" customWidth="1"/>
    <col min="3" max="3" width="4.81640625" bestFit="1" customWidth="1"/>
    <col min="4" max="4" width="9.81640625" customWidth="1"/>
    <col min="5" max="5" width="9.08984375" bestFit="1" customWidth="1"/>
    <col min="6" max="6" width="8.36328125" bestFit="1" customWidth="1"/>
    <col min="7" max="7" width="19.81640625" customWidth="1"/>
    <col min="8" max="8" width="17.453125" bestFit="1" customWidth="1"/>
    <col min="10" max="10" width="6.453125" bestFit="1" customWidth="1"/>
    <col min="12" max="12" width="8" bestFit="1" customWidth="1"/>
    <col min="13" max="13" width="8.26953125" bestFit="1" customWidth="1"/>
  </cols>
  <sheetData>
    <row r="2" spans="1:13" x14ac:dyDescent="0.35">
      <c r="A2" s="6"/>
      <c r="B2" s="49" t="s">
        <v>26</v>
      </c>
      <c r="C2" s="49"/>
      <c r="D2" s="49"/>
      <c r="E2" s="49"/>
      <c r="F2" s="49"/>
      <c r="G2" s="49"/>
      <c r="H2" s="49"/>
      <c r="J2" s="36" t="s">
        <v>31</v>
      </c>
      <c r="K2" s="36"/>
      <c r="L2" s="36"/>
      <c r="M2" s="36"/>
    </row>
    <row r="3" spans="1:13" x14ac:dyDescent="0.35">
      <c r="B3" s="48"/>
    </row>
    <row r="4" spans="1:13" x14ac:dyDescent="0.35">
      <c r="A4" s="5"/>
      <c r="B4" s="7" t="s">
        <v>1</v>
      </c>
      <c r="C4" s="6" t="s">
        <v>25</v>
      </c>
      <c r="D4" s="1"/>
      <c r="E4" s="8"/>
      <c r="F4" s="1"/>
      <c r="G4" s="6" t="s">
        <v>25</v>
      </c>
      <c r="H4" s="7" t="s">
        <v>0</v>
      </c>
    </row>
    <row r="5" spans="1:13" x14ac:dyDescent="0.35">
      <c r="A5" s="47"/>
      <c r="B5" s="2"/>
      <c r="C5" s="6"/>
      <c r="D5" s="55" t="s">
        <v>14</v>
      </c>
      <c r="E5" s="56"/>
      <c r="F5" s="57"/>
      <c r="G5" s="6"/>
      <c r="H5" s="2"/>
    </row>
    <row r="6" spans="1:13" x14ac:dyDescent="0.35">
      <c r="A6" s="47"/>
      <c r="B6" s="3" t="s">
        <v>2</v>
      </c>
      <c r="D6" s="59"/>
      <c r="E6" s="60"/>
      <c r="F6" s="61"/>
      <c r="H6" s="4" t="s">
        <v>2</v>
      </c>
      <c r="L6" t="s">
        <v>28</v>
      </c>
    </row>
    <row r="7" spans="1:13" x14ac:dyDescent="0.35">
      <c r="A7" s="47"/>
      <c r="B7" s="3" t="s">
        <v>8</v>
      </c>
      <c r="D7" s="58" t="s">
        <v>2</v>
      </c>
      <c r="E7" s="58"/>
      <c r="F7" s="58"/>
      <c r="H7" s="4" t="s">
        <v>3</v>
      </c>
    </row>
    <row r="8" spans="1:13" x14ac:dyDescent="0.35">
      <c r="A8" s="47"/>
      <c r="B8" s="3" t="s">
        <v>9</v>
      </c>
      <c r="D8" s="37" t="s">
        <v>15</v>
      </c>
      <c r="E8" s="37"/>
      <c r="F8" s="37"/>
      <c r="H8" s="4" t="s">
        <v>4</v>
      </c>
      <c r="M8" t="s">
        <v>40</v>
      </c>
    </row>
    <row r="9" spans="1:13" x14ac:dyDescent="0.35">
      <c r="B9" s="3" t="s">
        <v>10</v>
      </c>
      <c r="D9" s="37" t="s">
        <v>0</v>
      </c>
      <c r="E9" s="37"/>
      <c r="F9" s="37"/>
      <c r="H9" s="4" t="s">
        <v>6</v>
      </c>
    </row>
    <row r="10" spans="1:13" x14ac:dyDescent="0.35">
      <c r="B10" s="3" t="s">
        <v>11</v>
      </c>
      <c r="D10" s="37" t="s">
        <v>16</v>
      </c>
      <c r="E10" s="37"/>
      <c r="F10" s="37"/>
      <c r="H10" s="4" t="s">
        <v>7</v>
      </c>
    </row>
    <row r="11" spans="1:13" x14ac:dyDescent="0.35">
      <c r="B11" s="3" t="s">
        <v>12</v>
      </c>
      <c r="D11" s="37" t="s">
        <v>5</v>
      </c>
      <c r="E11" s="37"/>
      <c r="F11" s="37"/>
    </row>
    <row r="12" spans="1:13" x14ac:dyDescent="0.35">
      <c r="B12" s="3" t="s">
        <v>13</v>
      </c>
      <c r="D12" s="37" t="s">
        <v>17</v>
      </c>
      <c r="E12" s="37"/>
      <c r="F12" s="37"/>
      <c r="J12" t="s">
        <v>29</v>
      </c>
      <c r="M12" t="s">
        <v>30</v>
      </c>
    </row>
    <row r="15" spans="1:13" ht="15.5" x14ac:dyDescent="0.35">
      <c r="B15" s="50" t="s">
        <v>27</v>
      </c>
      <c r="C15" s="51"/>
      <c r="D15" s="51"/>
      <c r="E15" s="51"/>
      <c r="F15" s="51"/>
      <c r="G15" s="51"/>
      <c r="H15" s="51"/>
    </row>
    <row r="16" spans="1:13" x14ac:dyDescent="0.35">
      <c r="B16" s="24"/>
      <c r="G16" s="47"/>
    </row>
    <row r="17" spans="2:8" x14ac:dyDescent="0.35">
      <c r="B17" s="52" t="s">
        <v>19</v>
      </c>
      <c r="C17" s="52"/>
      <c r="D17" s="52"/>
      <c r="E17" s="52"/>
      <c r="F17" s="53"/>
      <c r="G17" s="47"/>
    </row>
    <row r="18" spans="2:8" x14ac:dyDescent="0.35">
      <c r="B18" s="2">
        <v>1</v>
      </c>
      <c r="C18" s="2">
        <v>1001</v>
      </c>
      <c r="D18" s="2" t="s">
        <v>52</v>
      </c>
      <c r="E18" s="2">
        <v>100</v>
      </c>
      <c r="F18" s="2">
        <v>1</v>
      </c>
      <c r="G18" s="47"/>
    </row>
    <row r="19" spans="2:8" x14ac:dyDescent="0.35">
      <c r="B19" s="2">
        <v>2</v>
      </c>
      <c r="C19" s="2">
        <v>1002</v>
      </c>
      <c r="D19" s="2" t="s">
        <v>53</v>
      </c>
      <c r="E19" s="2">
        <v>90</v>
      </c>
      <c r="F19" s="2">
        <v>1</v>
      </c>
      <c r="G19" s="47"/>
    </row>
    <row r="20" spans="2:8" x14ac:dyDescent="0.35">
      <c r="B20" s="2">
        <v>3</v>
      </c>
      <c r="C20" s="2">
        <v>1003</v>
      </c>
      <c r="D20" s="2" t="s">
        <v>55</v>
      </c>
      <c r="E20" s="2">
        <v>70</v>
      </c>
      <c r="F20" s="2">
        <v>1</v>
      </c>
      <c r="G20" s="47"/>
    </row>
    <row r="21" spans="2:8" x14ac:dyDescent="0.35">
      <c r="B21" s="47"/>
      <c r="G21" s="47"/>
    </row>
    <row r="22" spans="2:8" x14ac:dyDescent="0.35">
      <c r="B22" s="52" t="s">
        <v>1</v>
      </c>
      <c r="C22" s="52"/>
      <c r="D22" s="52"/>
      <c r="E22" s="52"/>
      <c r="F22" s="52"/>
      <c r="G22" s="52"/>
      <c r="H22" s="52"/>
    </row>
    <row r="23" spans="2:8" x14ac:dyDescent="0.35">
      <c r="B23" s="54">
        <v>1</v>
      </c>
      <c r="C23" s="2">
        <v>1</v>
      </c>
      <c r="D23" s="2" t="s">
        <v>18</v>
      </c>
      <c r="E23" s="23">
        <v>46241</v>
      </c>
      <c r="F23" s="2" t="s">
        <v>20</v>
      </c>
      <c r="G23" s="2" t="s">
        <v>21</v>
      </c>
      <c r="H23" s="2">
        <f>SUM(G28:G30)</f>
        <v>540</v>
      </c>
    </row>
    <row r="24" spans="2:8" x14ac:dyDescent="0.35">
      <c r="B24" s="54">
        <v>2</v>
      </c>
      <c r="C24" s="2">
        <v>2</v>
      </c>
      <c r="D24" s="2" t="s">
        <v>43</v>
      </c>
      <c r="E24" s="23">
        <v>46241</v>
      </c>
      <c r="F24" s="2" t="s">
        <v>23</v>
      </c>
      <c r="G24" s="2" t="s">
        <v>24</v>
      </c>
      <c r="H24" s="2">
        <f>SUM(G31:G32)</f>
        <v>950</v>
      </c>
    </row>
    <row r="25" spans="2:8" x14ac:dyDescent="0.35">
      <c r="B25" s="54">
        <v>3</v>
      </c>
      <c r="C25" s="2">
        <v>3</v>
      </c>
      <c r="D25" s="2" t="s">
        <v>18</v>
      </c>
      <c r="E25" s="23">
        <v>46241</v>
      </c>
      <c r="F25" s="2" t="s">
        <v>20</v>
      </c>
      <c r="G25" s="2" t="s">
        <v>21</v>
      </c>
      <c r="H25" s="2">
        <f>G33</f>
        <v>140</v>
      </c>
    </row>
    <row r="26" spans="2:8" x14ac:dyDescent="0.35">
      <c r="B26" s="47"/>
    </row>
    <row r="27" spans="2:8" x14ac:dyDescent="0.35">
      <c r="B27" s="52" t="s">
        <v>22</v>
      </c>
      <c r="C27" s="52"/>
      <c r="D27" s="52"/>
      <c r="E27" s="52"/>
      <c r="F27" s="52"/>
      <c r="G27" s="52"/>
    </row>
    <row r="28" spans="2:8" x14ac:dyDescent="0.35">
      <c r="B28" s="54">
        <v>1</v>
      </c>
      <c r="C28" s="2">
        <v>1</v>
      </c>
      <c r="D28" s="2">
        <v>1</v>
      </c>
      <c r="E28" s="2">
        <v>2</v>
      </c>
      <c r="F28" s="2">
        <v>100</v>
      </c>
      <c r="G28" s="2">
        <v>200</v>
      </c>
    </row>
    <row r="29" spans="2:8" x14ac:dyDescent="0.35">
      <c r="B29" s="54">
        <v>2</v>
      </c>
      <c r="C29" s="2">
        <v>1</v>
      </c>
      <c r="D29" s="2">
        <v>2</v>
      </c>
      <c r="E29" s="2">
        <v>3</v>
      </c>
      <c r="F29" s="2">
        <v>90</v>
      </c>
      <c r="G29" s="2">
        <v>270</v>
      </c>
    </row>
    <row r="30" spans="2:8" x14ac:dyDescent="0.35">
      <c r="B30" s="54">
        <v>3</v>
      </c>
      <c r="C30" s="2">
        <v>1</v>
      </c>
      <c r="D30" s="2">
        <v>3</v>
      </c>
      <c r="E30" s="2">
        <v>1</v>
      </c>
      <c r="F30" s="2">
        <v>70</v>
      </c>
      <c r="G30" s="2">
        <v>70</v>
      </c>
    </row>
    <row r="31" spans="2:8" x14ac:dyDescent="0.35">
      <c r="B31" s="54">
        <v>4</v>
      </c>
      <c r="C31" s="2">
        <v>2</v>
      </c>
      <c r="D31" s="2">
        <v>1</v>
      </c>
      <c r="E31" s="2">
        <v>5</v>
      </c>
      <c r="F31" s="2">
        <v>100</v>
      </c>
      <c r="G31" s="2">
        <v>500</v>
      </c>
    </row>
    <row r="32" spans="2:8" x14ac:dyDescent="0.35">
      <c r="B32" s="54">
        <v>5</v>
      </c>
      <c r="C32" s="2">
        <v>2</v>
      </c>
      <c r="D32" s="2">
        <v>2</v>
      </c>
      <c r="E32" s="2">
        <v>5</v>
      </c>
      <c r="F32" s="2">
        <v>90</v>
      </c>
      <c r="G32" s="2">
        <v>450</v>
      </c>
    </row>
    <row r="33" spans="1:7" x14ac:dyDescent="0.35">
      <c r="B33" s="54">
        <v>6</v>
      </c>
      <c r="C33" s="2">
        <v>3</v>
      </c>
      <c r="D33" s="2">
        <v>2</v>
      </c>
      <c r="E33" s="2">
        <v>2</v>
      </c>
      <c r="F33" s="2">
        <v>70</v>
      </c>
      <c r="G33" s="2">
        <v>140</v>
      </c>
    </row>
    <row r="40" spans="1:7" x14ac:dyDescent="0.35">
      <c r="F40" s="47"/>
    </row>
    <row r="41" spans="1:7" x14ac:dyDescent="0.35">
      <c r="A41" s="24"/>
      <c r="F41" s="47"/>
    </row>
    <row r="42" spans="1:7" ht="15" thickBot="1" x14ac:dyDescent="0.4">
      <c r="A42" s="25"/>
      <c r="B42" s="26"/>
      <c r="C42" s="26"/>
      <c r="D42" s="26"/>
      <c r="E42" s="26"/>
      <c r="F42" s="47"/>
    </row>
  </sheetData>
  <mergeCells count="13">
    <mergeCell ref="B15:H15"/>
    <mergeCell ref="B17:F17"/>
    <mergeCell ref="B22:H22"/>
    <mergeCell ref="B27:G27"/>
    <mergeCell ref="J2:M2"/>
    <mergeCell ref="D7:F7"/>
    <mergeCell ref="D8:F8"/>
    <mergeCell ref="D9:F9"/>
    <mergeCell ref="D10:F10"/>
    <mergeCell ref="D11:F11"/>
    <mergeCell ref="D12:F12"/>
    <mergeCell ref="B2:H2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66F0-21F6-4D22-A691-E1B6B7D29C2C}">
  <dimension ref="B2:L31"/>
  <sheetViews>
    <sheetView zoomScale="81" workbookViewId="0">
      <selection activeCell="H15" sqref="H15"/>
    </sheetView>
  </sheetViews>
  <sheetFormatPr baseColWidth="10" defaultColWidth="13" defaultRowHeight="14.5" x14ac:dyDescent="0.35"/>
  <cols>
    <col min="2" max="2" width="2.26953125" bestFit="1" customWidth="1"/>
    <col min="3" max="3" width="16.1796875" bestFit="1" customWidth="1"/>
    <col min="4" max="4" width="26.54296875" bestFit="1" customWidth="1"/>
    <col min="5" max="5" width="13.36328125" bestFit="1" customWidth="1"/>
    <col min="6" max="6" width="26.54296875" bestFit="1" customWidth="1"/>
    <col min="7" max="7" width="2.1796875" customWidth="1"/>
    <col min="9" max="9" width="16" bestFit="1" customWidth="1"/>
    <col min="10" max="10" width="12.453125" bestFit="1" customWidth="1"/>
    <col min="11" max="11" width="17.54296875" bestFit="1" customWidth="1"/>
    <col min="12" max="12" width="6.81640625" bestFit="1" customWidth="1"/>
  </cols>
  <sheetData>
    <row r="2" spans="2:12" x14ac:dyDescent="0.35">
      <c r="B2" s="38" t="s">
        <v>1</v>
      </c>
      <c r="C2" s="39"/>
      <c r="D2" s="39"/>
      <c r="E2" s="39"/>
      <c r="F2" s="39"/>
      <c r="G2" s="40"/>
      <c r="I2" s="41" t="s">
        <v>0</v>
      </c>
      <c r="J2" s="42"/>
      <c r="K2" s="42"/>
      <c r="L2" s="43"/>
    </row>
    <row r="3" spans="2:12" ht="15" thickBot="1" x14ac:dyDescent="0.4">
      <c r="B3" s="9"/>
      <c r="C3" s="15"/>
      <c r="D3" s="15"/>
      <c r="E3" s="15"/>
      <c r="F3" s="15"/>
      <c r="G3" s="10"/>
      <c r="I3" s="17" t="s">
        <v>36</v>
      </c>
      <c r="J3" s="18" t="s">
        <v>4</v>
      </c>
      <c r="K3" s="18" t="s">
        <v>37</v>
      </c>
      <c r="L3" s="19" t="s">
        <v>7</v>
      </c>
    </row>
    <row r="4" spans="2:12" x14ac:dyDescent="0.35">
      <c r="B4" s="9" t="s">
        <v>33</v>
      </c>
      <c r="C4" s="27" t="s">
        <v>8</v>
      </c>
      <c r="D4" s="4">
        <v>1</v>
      </c>
      <c r="E4" s="28" t="s">
        <v>11</v>
      </c>
      <c r="F4" s="4" t="s">
        <v>20</v>
      </c>
      <c r="G4" s="10"/>
      <c r="I4" s="20">
        <v>1001</v>
      </c>
      <c r="J4" s="21" t="s">
        <v>52</v>
      </c>
      <c r="K4" s="21">
        <v>100</v>
      </c>
      <c r="L4" s="22">
        <v>1</v>
      </c>
    </row>
    <row r="5" spans="2:12" x14ac:dyDescent="0.35">
      <c r="B5" s="9" t="s">
        <v>34</v>
      </c>
      <c r="C5" s="29" t="s">
        <v>9</v>
      </c>
      <c r="D5" s="4" t="s">
        <v>38</v>
      </c>
      <c r="E5" s="30" t="s">
        <v>32</v>
      </c>
      <c r="F5" s="4" t="s">
        <v>39</v>
      </c>
      <c r="G5" s="10"/>
      <c r="I5" s="14">
        <v>1002</v>
      </c>
      <c r="J5" s="15" t="s">
        <v>53</v>
      </c>
      <c r="K5" s="15">
        <v>90</v>
      </c>
      <c r="L5" s="16">
        <v>1</v>
      </c>
    </row>
    <row r="6" spans="2:12" ht="15" thickBot="1" x14ac:dyDescent="0.4">
      <c r="B6" s="9"/>
      <c r="C6" s="31" t="s">
        <v>10</v>
      </c>
      <c r="D6" s="33">
        <v>46242</v>
      </c>
      <c r="E6" s="32" t="s">
        <v>13</v>
      </c>
      <c r="F6" s="4">
        <f>SUM(F12:F25)</f>
        <v>1050</v>
      </c>
      <c r="G6" s="10"/>
      <c r="I6" s="17">
        <v>1003</v>
      </c>
      <c r="J6" s="18" t="s">
        <v>54</v>
      </c>
      <c r="K6" s="18">
        <v>70</v>
      </c>
      <c r="L6" s="19">
        <v>1</v>
      </c>
    </row>
    <row r="7" spans="2:12" x14ac:dyDescent="0.35">
      <c r="B7" s="9"/>
      <c r="G7" s="10"/>
    </row>
    <row r="8" spans="2:12" x14ac:dyDescent="0.35">
      <c r="B8" s="9"/>
      <c r="C8" s="38" t="s">
        <v>35</v>
      </c>
      <c r="D8" s="39"/>
      <c r="E8" s="39"/>
      <c r="F8" s="40"/>
      <c r="G8" s="10"/>
    </row>
    <row r="9" spans="2:12" x14ac:dyDescent="0.35">
      <c r="B9" s="9"/>
      <c r="C9" s="9" t="s">
        <v>48</v>
      </c>
      <c r="F9" s="10"/>
      <c r="G9" s="10"/>
    </row>
    <row r="10" spans="2:12" ht="15" thickBot="1" x14ac:dyDescent="0.4">
      <c r="B10" s="9"/>
      <c r="C10" s="9"/>
      <c r="F10" s="10"/>
      <c r="G10" s="10"/>
      <c r="I10" s="15" t="s">
        <v>28</v>
      </c>
    </row>
    <row r="11" spans="2:12" ht="15" thickBot="1" x14ac:dyDescent="0.4">
      <c r="B11" s="9"/>
      <c r="C11" s="34" t="s">
        <v>36</v>
      </c>
      <c r="D11" s="34" t="s">
        <v>16</v>
      </c>
      <c r="E11" s="34" t="s">
        <v>5</v>
      </c>
      <c r="F11" s="35" t="s">
        <v>17</v>
      </c>
      <c r="G11" s="10"/>
      <c r="I11" s="15" t="s">
        <v>29</v>
      </c>
    </row>
    <row r="12" spans="2:12" x14ac:dyDescent="0.35">
      <c r="B12" s="9"/>
      <c r="C12" s="14">
        <f>I4</f>
        <v>1001</v>
      </c>
      <c r="D12" s="15">
        <v>2</v>
      </c>
      <c r="E12" s="15">
        <f>VLOOKUP(C12,I$4:$L$6,3,0)</f>
        <v>100</v>
      </c>
      <c r="F12" s="16">
        <f>D12*E12</f>
        <v>200</v>
      </c>
      <c r="G12" s="10"/>
      <c r="I12" s="15" t="s">
        <v>47</v>
      </c>
    </row>
    <row r="13" spans="2:12" x14ac:dyDescent="0.35">
      <c r="B13" s="9"/>
      <c r="C13" s="14">
        <v>1003</v>
      </c>
      <c r="D13" s="15">
        <v>5</v>
      </c>
      <c r="E13" s="15">
        <f>VLOOKUP(C13,I$4:$L$6,3,0)</f>
        <v>70</v>
      </c>
      <c r="F13" s="16">
        <f t="shared" ref="F13:F14" si="0">D13*E13</f>
        <v>350</v>
      </c>
      <c r="G13" s="10"/>
    </row>
    <row r="14" spans="2:12" x14ac:dyDescent="0.35">
      <c r="B14" s="9"/>
      <c r="C14" s="44">
        <v>1001</v>
      </c>
      <c r="D14" s="45">
        <v>5</v>
      </c>
      <c r="E14" s="45">
        <f>VLOOKUP(C14,I$4:$L$6,3,0)</f>
        <v>100</v>
      </c>
      <c r="F14" s="46">
        <f t="shared" si="0"/>
        <v>500</v>
      </c>
      <c r="G14" s="10"/>
      <c r="H14" t="s">
        <v>56</v>
      </c>
    </row>
    <row r="15" spans="2:12" x14ac:dyDescent="0.35">
      <c r="B15" s="9"/>
      <c r="C15" s="14"/>
      <c r="D15" s="15"/>
      <c r="E15" s="15">
        <f>IFERROR((VLOOKUP(C15,I$4:$L$6,3,0)),0)</f>
        <v>0</v>
      </c>
      <c r="F15" s="16">
        <f>IFERROR(D15*E15,0)</f>
        <v>0</v>
      </c>
      <c r="G15" s="10"/>
    </row>
    <row r="16" spans="2:12" x14ac:dyDescent="0.35">
      <c r="B16" s="9"/>
      <c r="C16" s="14"/>
      <c r="D16" s="15"/>
      <c r="E16" s="15">
        <f>IFERROR((VLOOKUP(C16,I$4:$L$6,3,0)),0)</f>
        <v>0</v>
      </c>
      <c r="F16" s="16">
        <f t="shared" ref="F16:F25" si="1">IFERROR(D16*E16,0)</f>
        <v>0</v>
      </c>
      <c r="G16" s="10"/>
    </row>
    <row r="17" spans="2:7" x14ac:dyDescent="0.35">
      <c r="B17" s="9"/>
      <c r="C17" s="14"/>
      <c r="D17" s="15"/>
      <c r="E17" s="15">
        <f>IFERROR((VLOOKUP(C17,I$4:$L$6,3,0)),0)</f>
        <v>0</v>
      </c>
      <c r="F17" s="16">
        <f t="shared" si="1"/>
        <v>0</v>
      </c>
      <c r="G17" s="10"/>
    </row>
    <row r="18" spans="2:7" x14ac:dyDescent="0.35">
      <c r="B18" s="9"/>
      <c r="C18" s="14"/>
      <c r="D18" s="15"/>
      <c r="E18" s="15">
        <f>IFERROR((VLOOKUP(C18,I$4:$L$6,3,0)),0)</f>
        <v>0</v>
      </c>
      <c r="F18" s="16">
        <f t="shared" si="1"/>
        <v>0</v>
      </c>
      <c r="G18" s="10"/>
    </row>
    <row r="19" spans="2:7" x14ac:dyDescent="0.35">
      <c r="B19" s="9"/>
      <c r="C19" s="14"/>
      <c r="D19" s="15"/>
      <c r="E19" s="15">
        <f>IFERROR((VLOOKUP(C19,I$4:$L$6,3,0)),0)</f>
        <v>0</v>
      </c>
      <c r="F19" s="16">
        <f t="shared" si="1"/>
        <v>0</v>
      </c>
      <c r="G19" s="10"/>
    </row>
    <row r="20" spans="2:7" x14ac:dyDescent="0.35">
      <c r="B20" s="9"/>
      <c r="C20" s="14"/>
      <c r="D20" s="15"/>
      <c r="E20" s="15">
        <f>IFERROR((VLOOKUP(C20,I$4:$L$6,3,0)),0)</f>
        <v>0</v>
      </c>
      <c r="F20" s="16">
        <f t="shared" si="1"/>
        <v>0</v>
      </c>
      <c r="G20" s="10"/>
    </row>
    <row r="21" spans="2:7" x14ac:dyDescent="0.35">
      <c r="B21" s="9"/>
      <c r="C21" s="14"/>
      <c r="D21" s="15"/>
      <c r="E21" s="15">
        <f>IFERROR((VLOOKUP(C21,I$4:$L$6,3,0)),0)</f>
        <v>0</v>
      </c>
      <c r="F21" s="16">
        <f t="shared" si="1"/>
        <v>0</v>
      </c>
      <c r="G21" s="10"/>
    </row>
    <row r="22" spans="2:7" x14ac:dyDescent="0.35">
      <c r="B22" s="9"/>
      <c r="C22" s="14"/>
      <c r="D22" s="15"/>
      <c r="E22" s="15">
        <f>IFERROR((VLOOKUP(C22,I$4:$L$6,3,0)),0)</f>
        <v>0</v>
      </c>
      <c r="F22" s="16">
        <f t="shared" si="1"/>
        <v>0</v>
      </c>
      <c r="G22" s="10"/>
    </row>
    <row r="23" spans="2:7" x14ac:dyDescent="0.35">
      <c r="B23" s="9"/>
      <c r="C23" s="14"/>
      <c r="D23" s="15"/>
      <c r="E23" s="15">
        <f>IFERROR((VLOOKUP(C23,I$4:$L$6,3,0)),0)</f>
        <v>0</v>
      </c>
      <c r="F23" s="16">
        <f t="shared" si="1"/>
        <v>0</v>
      </c>
      <c r="G23" s="10"/>
    </row>
    <row r="24" spans="2:7" x14ac:dyDescent="0.35">
      <c r="B24" s="9"/>
      <c r="C24" s="14"/>
      <c r="D24" s="15"/>
      <c r="E24" s="15">
        <f>IFERROR((VLOOKUP(C24,I$4:$L$6,3,0)),0)</f>
        <v>0</v>
      </c>
      <c r="F24" s="16">
        <f t="shared" si="1"/>
        <v>0</v>
      </c>
      <c r="G24" s="10"/>
    </row>
    <row r="25" spans="2:7" x14ac:dyDescent="0.35">
      <c r="B25" s="9"/>
      <c r="C25" s="17"/>
      <c r="D25" s="18"/>
      <c r="E25" s="18">
        <f>IFERROR((VLOOKUP(C25,I$4:$L$6,3,0)),0)</f>
        <v>0</v>
      </c>
      <c r="F25" s="19">
        <f t="shared" si="1"/>
        <v>0</v>
      </c>
      <c r="G25" s="10"/>
    </row>
    <row r="26" spans="2:7" x14ac:dyDescent="0.35">
      <c r="B26" s="11"/>
      <c r="C26" s="12"/>
      <c r="D26" s="12"/>
      <c r="E26" s="12"/>
      <c r="F26" s="12"/>
      <c r="G26" s="13"/>
    </row>
    <row r="29" spans="2:7" x14ac:dyDescent="0.35">
      <c r="C29" t="s">
        <v>46</v>
      </c>
    </row>
    <row r="30" spans="2:7" x14ac:dyDescent="0.35">
      <c r="C30" t="s">
        <v>45</v>
      </c>
    </row>
    <row r="31" spans="2:7" x14ac:dyDescent="0.35">
      <c r="C31" t="s">
        <v>44</v>
      </c>
    </row>
  </sheetData>
  <mergeCells count="3">
    <mergeCell ref="B2:G2"/>
    <mergeCell ref="C8:F8"/>
    <mergeCell ref="I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48E4-0317-454C-9FCF-0A36B8E95F8C}">
  <dimension ref="A1:A16"/>
  <sheetViews>
    <sheetView workbookViewId="0">
      <selection activeCell="A17" sqref="A17"/>
    </sheetView>
  </sheetViews>
  <sheetFormatPr baseColWidth="10" defaultRowHeight="14.5" x14ac:dyDescent="0.35"/>
  <cols>
    <col min="1" max="1" width="90.36328125" bestFit="1" customWidth="1"/>
  </cols>
  <sheetData>
    <row r="1" spans="1:1" x14ac:dyDescent="0.35">
      <c r="A1" s="30" t="s">
        <v>41</v>
      </c>
    </row>
    <row r="2" spans="1:1" x14ac:dyDescent="0.35">
      <c r="A2" t="s">
        <v>51</v>
      </c>
    </row>
    <row r="10" spans="1:1" x14ac:dyDescent="0.35">
      <c r="A10" s="30" t="s">
        <v>49</v>
      </c>
    </row>
    <row r="11" spans="1:1" x14ac:dyDescent="0.35">
      <c r="A11" t="s">
        <v>50</v>
      </c>
    </row>
    <row r="16" spans="1:1" x14ac:dyDescent="0.35">
      <c r="A16" s="3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Modelado</vt:lpstr>
      <vt:lpstr>Ejemplo</vt:lpstr>
      <vt:lpstr>Bitacora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Trinidad Ríos Bonilla</dc:creator>
  <cp:lastModifiedBy>Jose Rios</cp:lastModifiedBy>
  <dcterms:created xsi:type="dcterms:W3CDTF">2026-08-05T19:21:13Z</dcterms:created>
  <dcterms:modified xsi:type="dcterms:W3CDTF">2026-08-25T15:38:28Z</dcterms:modified>
</cp:coreProperties>
</file>